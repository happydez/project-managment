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9943F964-28F3-4A0D-92FF-0D0F59B24F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ценки" sheetId="1" r:id="rId1"/>
    <sheet name="TOPSIS" sheetId="2" r:id="rId2"/>
    <sheet name="МАИ оценки" sheetId="3" r:id="rId3"/>
    <sheet name="МАИ" sheetId="4" r:id="rId4"/>
    <sheet name="Итог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5" l="1"/>
  <c r="H17" i="5"/>
  <c r="G17" i="5"/>
  <c r="F17" i="5"/>
  <c r="E17" i="5"/>
  <c r="D17" i="5"/>
  <c r="S37" i="4"/>
  <c r="L37" i="4"/>
  <c r="E37" i="4"/>
  <c r="S36" i="4"/>
  <c r="R36" i="4"/>
  <c r="L36" i="4"/>
  <c r="K36" i="4"/>
  <c r="E36" i="4"/>
  <c r="D36" i="4"/>
  <c r="S35" i="4"/>
  <c r="Q35" i="4"/>
  <c r="L35" i="4"/>
  <c r="K35" i="4"/>
  <c r="J35" i="4"/>
  <c r="E35" i="4"/>
  <c r="D35" i="4"/>
  <c r="C35" i="4"/>
  <c r="S34" i="4"/>
  <c r="Q34" i="4"/>
  <c r="P34" i="4"/>
  <c r="L34" i="4"/>
  <c r="K34" i="4"/>
  <c r="I34" i="4"/>
  <c r="B34" i="4"/>
  <c r="S29" i="4"/>
  <c r="L29" i="4"/>
  <c r="E29" i="4"/>
  <c r="R28" i="4"/>
  <c r="L28" i="4"/>
  <c r="K28" i="4"/>
  <c r="E28" i="4"/>
  <c r="D28" i="4"/>
  <c r="S27" i="4"/>
  <c r="R27" i="4"/>
  <c r="Q27" i="4"/>
  <c r="J27" i="4"/>
  <c r="E27" i="4"/>
  <c r="D27" i="4"/>
  <c r="C27" i="4"/>
  <c r="R26" i="4"/>
  <c r="P26" i="4"/>
  <c r="I26" i="4"/>
  <c r="E26" i="4"/>
  <c r="D26" i="4"/>
  <c r="B26" i="4"/>
  <c r="G21" i="4"/>
  <c r="F20" i="4"/>
  <c r="E19" i="4"/>
  <c r="D18" i="4"/>
  <c r="E17" i="4"/>
  <c r="C17" i="4"/>
  <c r="F16" i="4"/>
  <c r="E16" i="4"/>
  <c r="B16" i="4"/>
  <c r="R114" i="3"/>
  <c r="Q114" i="3"/>
  <c r="P114" i="3"/>
  <c r="K114" i="3"/>
  <c r="J114" i="3"/>
  <c r="I114" i="3"/>
  <c r="D114" i="3"/>
  <c r="C114" i="3"/>
  <c r="B114" i="3"/>
  <c r="P113" i="3"/>
  <c r="J113" i="3"/>
  <c r="I113" i="3"/>
  <c r="C113" i="3"/>
  <c r="B113" i="3"/>
  <c r="R112" i="3"/>
  <c r="Q113" i="3" s="1"/>
  <c r="T111" i="3" s="1"/>
  <c r="P112" i="3"/>
  <c r="T112" i="3" s="1"/>
  <c r="I112" i="3"/>
  <c r="M112" i="3" s="1"/>
  <c r="B112" i="3"/>
  <c r="F112" i="3" s="1"/>
  <c r="M111" i="3"/>
  <c r="F111" i="3"/>
  <c r="Q106" i="3"/>
  <c r="P106" i="3"/>
  <c r="K106" i="3"/>
  <c r="J106" i="3"/>
  <c r="I106" i="3"/>
  <c r="D106" i="3"/>
  <c r="C106" i="3"/>
  <c r="B106" i="3"/>
  <c r="S105" i="3"/>
  <c r="R106" i="3" s="1"/>
  <c r="Q105" i="3"/>
  <c r="P105" i="3"/>
  <c r="J105" i="3"/>
  <c r="I105" i="3"/>
  <c r="C105" i="3"/>
  <c r="F103" i="3" s="1"/>
  <c r="B105" i="3"/>
  <c r="P104" i="3"/>
  <c r="B104" i="3"/>
  <c r="F104" i="3" s="1"/>
  <c r="J103" i="3"/>
  <c r="I104" i="3" s="1"/>
  <c r="D98" i="3"/>
  <c r="G97" i="3"/>
  <c r="F98" i="3" s="1"/>
  <c r="D97" i="3"/>
  <c r="C97" i="3"/>
  <c r="B97" i="3"/>
  <c r="G96" i="3"/>
  <c r="E98" i="3" s="1"/>
  <c r="F96" i="3"/>
  <c r="E97" i="3" s="1"/>
  <c r="D96" i="3"/>
  <c r="C96" i="3"/>
  <c r="B96" i="3"/>
  <c r="G94" i="3"/>
  <c r="D94" i="3"/>
  <c r="B94" i="3"/>
  <c r="G93" i="3"/>
  <c r="G16" i="4" s="1"/>
  <c r="D93" i="3"/>
  <c r="R86" i="3"/>
  <c r="Q86" i="3"/>
  <c r="P86" i="3"/>
  <c r="K86" i="3"/>
  <c r="J86" i="3"/>
  <c r="I86" i="3"/>
  <c r="D86" i="3"/>
  <c r="C86" i="3"/>
  <c r="J85" i="3"/>
  <c r="I85" i="3"/>
  <c r="C85" i="3"/>
  <c r="R84" i="3"/>
  <c r="Q85" i="3" s="1"/>
  <c r="P84" i="3"/>
  <c r="I84" i="3"/>
  <c r="M84" i="3" s="1"/>
  <c r="R83" i="3"/>
  <c r="R34" i="4" s="1"/>
  <c r="M83" i="3"/>
  <c r="E83" i="3"/>
  <c r="D83" i="3"/>
  <c r="B85" i="3" s="1"/>
  <c r="C83" i="3"/>
  <c r="R78" i="3"/>
  <c r="Q78" i="3"/>
  <c r="P78" i="3"/>
  <c r="K78" i="3"/>
  <c r="D78" i="3"/>
  <c r="C78" i="3"/>
  <c r="B78" i="3"/>
  <c r="F78" i="3" s="1"/>
  <c r="Q77" i="3"/>
  <c r="P77" i="3"/>
  <c r="C77" i="3"/>
  <c r="B77" i="3"/>
  <c r="L76" i="3"/>
  <c r="K76" i="3"/>
  <c r="B76" i="3"/>
  <c r="F76" i="3" s="1"/>
  <c r="Q75" i="3"/>
  <c r="L75" i="3"/>
  <c r="I78" i="3" s="1"/>
  <c r="K75" i="3"/>
  <c r="I77" i="3" s="1"/>
  <c r="J75" i="3"/>
  <c r="F75" i="3"/>
  <c r="F70" i="3"/>
  <c r="D70" i="3"/>
  <c r="C70" i="3"/>
  <c r="B70" i="3"/>
  <c r="B69" i="3"/>
  <c r="G68" i="3"/>
  <c r="E70" i="3" s="1"/>
  <c r="F68" i="3"/>
  <c r="D68" i="3"/>
  <c r="C68" i="3"/>
  <c r="B68" i="3"/>
  <c r="F67" i="3"/>
  <c r="D69" i="3" s="1"/>
  <c r="B67" i="3"/>
  <c r="F66" i="3"/>
  <c r="D66" i="3"/>
  <c r="C67" i="3" s="1"/>
  <c r="B66" i="3"/>
  <c r="R58" i="3"/>
  <c r="Q58" i="3"/>
  <c r="P58" i="3"/>
  <c r="K58" i="3"/>
  <c r="J58" i="3"/>
  <c r="I58" i="3"/>
  <c r="D58" i="3"/>
  <c r="C58" i="3"/>
  <c r="B58" i="3"/>
  <c r="P57" i="3"/>
  <c r="J57" i="3"/>
  <c r="I57" i="3"/>
  <c r="C57" i="3"/>
  <c r="R56" i="3"/>
  <c r="Q57" i="3" s="1"/>
  <c r="P56" i="3"/>
  <c r="J55" i="3"/>
  <c r="D55" i="3"/>
  <c r="C55" i="3"/>
  <c r="Q50" i="3"/>
  <c r="P50" i="3"/>
  <c r="K50" i="3"/>
  <c r="J50" i="3"/>
  <c r="D50" i="3"/>
  <c r="C50" i="3"/>
  <c r="B50" i="3"/>
  <c r="S49" i="3"/>
  <c r="R50" i="3" s="1"/>
  <c r="Q49" i="3"/>
  <c r="P49" i="3"/>
  <c r="J49" i="3"/>
  <c r="C49" i="3"/>
  <c r="B49" i="3"/>
  <c r="Q47" i="3"/>
  <c r="L47" i="3"/>
  <c r="I50" i="3" s="1"/>
  <c r="K47" i="3"/>
  <c r="I49" i="3" s="1"/>
  <c r="J47" i="3"/>
  <c r="C47" i="3"/>
  <c r="C26" i="4" s="1"/>
  <c r="C42" i="3"/>
  <c r="B42" i="3"/>
  <c r="G41" i="3"/>
  <c r="E41" i="3"/>
  <c r="C41" i="3"/>
  <c r="B41" i="3"/>
  <c r="G40" i="3"/>
  <c r="E42" i="3" s="1"/>
  <c r="C40" i="3"/>
  <c r="B40" i="3"/>
  <c r="G39" i="3"/>
  <c r="F39" i="3"/>
  <c r="D41" i="3" s="1"/>
  <c r="E39" i="3"/>
  <c r="C39" i="3"/>
  <c r="B39" i="3"/>
  <c r="C37" i="3"/>
  <c r="R30" i="3"/>
  <c r="R37" i="4" s="1"/>
  <c r="Q30" i="3"/>
  <c r="Q37" i="4" s="1"/>
  <c r="P30" i="3"/>
  <c r="K30" i="3"/>
  <c r="K37" i="4" s="1"/>
  <c r="J30" i="3"/>
  <c r="J37" i="4" s="1"/>
  <c r="I30" i="3"/>
  <c r="D30" i="3"/>
  <c r="D37" i="4" s="1"/>
  <c r="C30" i="3"/>
  <c r="C37" i="4" s="1"/>
  <c r="B30" i="3"/>
  <c r="P29" i="3"/>
  <c r="J29" i="3"/>
  <c r="J36" i="4" s="1"/>
  <c r="I29" i="3"/>
  <c r="C29" i="3"/>
  <c r="C36" i="4" s="1"/>
  <c r="B29" i="3"/>
  <c r="R28" i="3"/>
  <c r="P28" i="3"/>
  <c r="J27" i="3"/>
  <c r="C27" i="3"/>
  <c r="Q22" i="3"/>
  <c r="Q29" i="4" s="1"/>
  <c r="K22" i="3"/>
  <c r="K29" i="4" s="1"/>
  <c r="J22" i="3"/>
  <c r="D22" i="3"/>
  <c r="D29" i="4" s="1"/>
  <c r="C22" i="3"/>
  <c r="C29" i="4" s="1"/>
  <c r="B22" i="3"/>
  <c r="S21" i="3"/>
  <c r="Q21" i="3"/>
  <c r="Q28" i="4" s="1"/>
  <c r="P21" i="3"/>
  <c r="J21" i="3"/>
  <c r="C21" i="3"/>
  <c r="C28" i="4" s="1"/>
  <c r="B21" i="3"/>
  <c r="B20" i="3"/>
  <c r="S19" i="3"/>
  <c r="Q19" i="3"/>
  <c r="L19" i="3"/>
  <c r="K19" i="3"/>
  <c r="J19" i="3"/>
  <c r="F19" i="3"/>
  <c r="F14" i="3"/>
  <c r="D14" i="3"/>
  <c r="D21" i="4" s="1"/>
  <c r="C14" i="3"/>
  <c r="B14" i="3"/>
  <c r="C13" i="3"/>
  <c r="B13" i="3"/>
  <c r="G12" i="3"/>
  <c r="F12" i="3"/>
  <c r="D12" i="3"/>
  <c r="D19" i="4" s="1"/>
  <c r="C12" i="3"/>
  <c r="C19" i="4" s="1"/>
  <c r="B12" i="3"/>
  <c r="F11" i="3"/>
  <c r="C11" i="3"/>
  <c r="B11" i="3"/>
  <c r="B10" i="3"/>
  <c r="F49" i="2"/>
  <c r="E49" i="2"/>
  <c r="D49" i="2"/>
  <c r="F48" i="2"/>
  <c r="E48" i="2"/>
  <c r="D48" i="2"/>
  <c r="F47" i="2"/>
  <c r="E47" i="2"/>
  <c r="D47" i="2"/>
  <c r="F46" i="2"/>
  <c r="E46" i="2"/>
  <c r="D46" i="2"/>
  <c r="F44" i="2"/>
  <c r="E44" i="2"/>
  <c r="D44" i="2"/>
  <c r="F43" i="2"/>
  <c r="E43" i="2"/>
  <c r="D43" i="2"/>
  <c r="F42" i="2"/>
  <c r="E42" i="2"/>
  <c r="D42" i="2"/>
  <c r="F41" i="2"/>
  <c r="E41" i="2"/>
  <c r="D41" i="2"/>
  <c r="F39" i="2"/>
  <c r="E39" i="2"/>
  <c r="D39" i="2"/>
  <c r="F38" i="2"/>
  <c r="E38" i="2"/>
  <c r="D38" i="2"/>
  <c r="F37" i="2"/>
  <c r="E37" i="2"/>
  <c r="D37" i="2"/>
  <c r="G37" i="2" s="1"/>
  <c r="F36" i="2"/>
  <c r="E36" i="2"/>
  <c r="D36" i="2"/>
  <c r="H35" i="2"/>
  <c r="F34" i="2"/>
  <c r="E34" i="2"/>
  <c r="D34" i="2"/>
  <c r="F33" i="2"/>
  <c r="E33" i="2"/>
  <c r="D33" i="2"/>
  <c r="F32" i="2"/>
  <c r="E32" i="2"/>
  <c r="D32" i="2"/>
  <c r="F31" i="2"/>
  <c r="E31" i="2"/>
  <c r="D31" i="2"/>
  <c r="F29" i="2"/>
  <c r="E29" i="2"/>
  <c r="D29" i="2"/>
  <c r="F28" i="2"/>
  <c r="E28" i="2"/>
  <c r="D28" i="2"/>
  <c r="F27" i="2"/>
  <c r="E27" i="2"/>
  <c r="D27" i="2"/>
  <c r="F26" i="2"/>
  <c r="E26" i="2"/>
  <c r="D26" i="2"/>
  <c r="H25" i="2" s="1"/>
  <c r="F24" i="2"/>
  <c r="E24" i="2"/>
  <c r="D24" i="2"/>
  <c r="F23" i="2"/>
  <c r="E23" i="2"/>
  <c r="D23" i="2"/>
  <c r="F22" i="2"/>
  <c r="E22" i="2"/>
  <c r="D22" i="2"/>
  <c r="F21" i="2"/>
  <c r="E21" i="2"/>
  <c r="D21" i="2"/>
  <c r="H20" i="2"/>
  <c r="F15" i="2"/>
  <c r="I15" i="2" s="1"/>
  <c r="E15" i="2"/>
  <c r="H15" i="2" s="1"/>
  <c r="I16" i="5" s="1"/>
  <c r="D15" i="2"/>
  <c r="G15" i="2" s="1"/>
  <c r="F14" i="2"/>
  <c r="I14" i="2" s="1"/>
  <c r="E14" i="2"/>
  <c r="H14" i="2" s="1"/>
  <c r="H16" i="5" s="1"/>
  <c r="D14" i="2"/>
  <c r="G14" i="2" s="1"/>
  <c r="F13" i="2"/>
  <c r="I13" i="2" s="1"/>
  <c r="E13" i="2"/>
  <c r="H13" i="2" s="1"/>
  <c r="G16" i="5" s="1"/>
  <c r="D13" i="2"/>
  <c r="G13" i="2" s="1"/>
  <c r="F12" i="2"/>
  <c r="I12" i="2" s="1"/>
  <c r="E12" i="2"/>
  <c r="H12" i="2" s="1"/>
  <c r="F16" i="5" s="1"/>
  <c r="D12" i="2"/>
  <c r="G12" i="2" s="1"/>
  <c r="F11" i="2"/>
  <c r="I11" i="2" s="1"/>
  <c r="E11" i="2"/>
  <c r="H11" i="2" s="1"/>
  <c r="E16" i="5" s="1"/>
  <c r="D11" i="2"/>
  <c r="G11" i="2" s="1"/>
  <c r="F10" i="2"/>
  <c r="I10" i="2" s="1"/>
  <c r="E10" i="2"/>
  <c r="H10" i="2" s="1"/>
  <c r="D16" i="5" s="1"/>
  <c r="D10" i="2"/>
  <c r="G10" i="2" s="1"/>
  <c r="F114" i="3" l="1"/>
  <c r="M86" i="3"/>
  <c r="G22" i="2"/>
  <c r="J22" i="2" s="1"/>
  <c r="F113" i="3"/>
  <c r="B115" i="3" s="1"/>
  <c r="D115" i="3" s="1"/>
  <c r="T105" i="3"/>
  <c r="M85" i="3"/>
  <c r="I87" i="3" s="1"/>
  <c r="K87" i="3" s="1"/>
  <c r="M113" i="3"/>
  <c r="I115" i="3" s="1"/>
  <c r="K115" i="3" s="1"/>
  <c r="M106" i="3"/>
  <c r="F105" i="3"/>
  <c r="B107" i="3" s="1"/>
  <c r="D107" i="3" s="1"/>
  <c r="T58" i="3"/>
  <c r="H22" i="2"/>
  <c r="M114" i="3"/>
  <c r="F106" i="3"/>
  <c r="M105" i="3"/>
  <c r="F77" i="3"/>
  <c r="T56" i="3"/>
  <c r="I24" i="2"/>
  <c r="I39" i="2"/>
  <c r="H23" i="2"/>
  <c r="G39" i="2"/>
  <c r="I38" i="2"/>
  <c r="H37" i="2"/>
  <c r="I23" i="2"/>
  <c r="I22" i="2"/>
  <c r="I37" i="2"/>
  <c r="I21" i="2"/>
  <c r="G23" i="2"/>
  <c r="H45" i="2"/>
  <c r="H24" i="2"/>
  <c r="G24" i="2"/>
  <c r="H39" i="2"/>
  <c r="I36" i="2"/>
  <c r="G38" i="2"/>
  <c r="H36" i="2"/>
  <c r="H21" i="2"/>
  <c r="G36" i="2"/>
  <c r="G21" i="2"/>
  <c r="H38" i="2"/>
  <c r="M103" i="3"/>
  <c r="M104" i="3"/>
  <c r="D16" i="4"/>
  <c r="B95" i="3"/>
  <c r="B86" i="3"/>
  <c r="E34" i="4"/>
  <c r="F17" i="4"/>
  <c r="C69" i="3"/>
  <c r="C20" i="4" s="1"/>
  <c r="B57" i="3"/>
  <c r="D34" i="4"/>
  <c r="G20" i="4"/>
  <c r="F42" i="3"/>
  <c r="D42" i="3"/>
  <c r="G18" i="4"/>
  <c r="D40" i="3"/>
  <c r="E18" i="4"/>
  <c r="B28" i="3"/>
  <c r="C34" i="4"/>
  <c r="L26" i="4"/>
  <c r="I22" i="3"/>
  <c r="T104" i="3"/>
  <c r="T103" i="3"/>
  <c r="G17" i="4"/>
  <c r="C98" i="3"/>
  <c r="C21" i="4" s="1"/>
  <c r="D17" i="4"/>
  <c r="C95" i="3"/>
  <c r="H97" i="3" s="1"/>
  <c r="B98" i="3"/>
  <c r="H93" i="3"/>
  <c r="P85" i="3"/>
  <c r="P36" i="4" s="1"/>
  <c r="T83" i="3"/>
  <c r="B84" i="3"/>
  <c r="F83" i="3" s="1"/>
  <c r="L27" i="4"/>
  <c r="J78" i="3"/>
  <c r="J77" i="3"/>
  <c r="K27" i="4"/>
  <c r="T75" i="3"/>
  <c r="P76" i="3"/>
  <c r="M75" i="3"/>
  <c r="I76" i="3"/>
  <c r="E69" i="3"/>
  <c r="H68" i="3"/>
  <c r="T57" i="3"/>
  <c r="T55" i="3"/>
  <c r="I56" i="3"/>
  <c r="M55" i="3" s="1"/>
  <c r="B56" i="3"/>
  <c r="F55" i="3" s="1"/>
  <c r="P48" i="3"/>
  <c r="T47" i="3" s="1"/>
  <c r="I48" i="3"/>
  <c r="M47" i="3" s="1"/>
  <c r="B48" i="3"/>
  <c r="B38" i="3"/>
  <c r="C16" i="4"/>
  <c r="P37" i="4"/>
  <c r="I37" i="4"/>
  <c r="B37" i="4"/>
  <c r="F30" i="3"/>
  <c r="I36" i="4"/>
  <c r="B36" i="4"/>
  <c r="F29" i="3"/>
  <c r="Q29" i="3"/>
  <c r="R35" i="4"/>
  <c r="T28" i="3"/>
  <c r="P35" i="4"/>
  <c r="J34" i="4"/>
  <c r="I28" i="3"/>
  <c r="M27" i="3"/>
  <c r="F28" i="3"/>
  <c r="F27" i="3"/>
  <c r="B31" i="3" s="1"/>
  <c r="D31" i="3" s="1"/>
  <c r="I29" i="4"/>
  <c r="B29" i="4"/>
  <c r="F22" i="3"/>
  <c r="R22" i="3"/>
  <c r="R29" i="4" s="1"/>
  <c r="S28" i="4"/>
  <c r="P28" i="4"/>
  <c r="B28" i="4"/>
  <c r="F21" i="3"/>
  <c r="F20" i="3"/>
  <c r="B23" i="3" s="1"/>
  <c r="D23" i="3" s="1"/>
  <c r="P22" i="3"/>
  <c r="S26" i="4"/>
  <c r="Q26" i="4"/>
  <c r="P20" i="3"/>
  <c r="T21" i="3" s="1"/>
  <c r="T19" i="3"/>
  <c r="I21" i="3"/>
  <c r="K26" i="4"/>
  <c r="I20" i="3"/>
  <c r="J26" i="4"/>
  <c r="B20" i="4"/>
  <c r="E14" i="3"/>
  <c r="G19" i="4"/>
  <c r="E13" i="3"/>
  <c r="E20" i="4" s="1"/>
  <c r="F19" i="4"/>
  <c r="B19" i="4"/>
  <c r="F18" i="4"/>
  <c r="D13" i="3"/>
  <c r="B18" i="4"/>
  <c r="B17" i="4"/>
  <c r="H49" i="2"/>
  <c r="K49" i="2" s="1"/>
  <c r="H48" i="2"/>
  <c r="K48" i="2" s="1"/>
  <c r="I49" i="2"/>
  <c r="L49" i="2" s="1"/>
  <c r="G47" i="2"/>
  <c r="J47" i="2" s="1"/>
  <c r="H47" i="2"/>
  <c r="K47" i="2" s="1"/>
  <c r="I47" i="2"/>
  <c r="L47" i="2" s="1"/>
  <c r="H46" i="2"/>
  <c r="K46" i="2" s="1"/>
  <c r="G48" i="2"/>
  <c r="J48" i="2" s="1"/>
  <c r="I46" i="2"/>
  <c r="L46" i="2" s="1"/>
  <c r="I48" i="2"/>
  <c r="L48" i="2" s="1"/>
  <c r="G49" i="2"/>
  <c r="J49" i="2" s="1"/>
  <c r="G46" i="2"/>
  <c r="J46" i="2" s="1"/>
  <c r="H40" i="2"/>
  <c r="I41" i="2" s="1"/>
  <c r="L41" i="2" s="1"/>
  <c r="H30" i="2"/>
  <c r="I31" i="2" s="1"/>
  <c r="L31" i="2" s="1"/>
  <c r="G26" i="2"/>
  <c r="J26" i="2" s="1"/>
  <c r="I27" i="2"/>
  <c r="L27" i="2" s="1"/>
  <c r="H29" i="2"/>
  <c r="K29" i="2" s="1"/>
  <c r="H26" i="2"/>
  <c r="K26" i="2" s="1"/>
  <c r="G27" i="2"/>
  <c r="J27" i="2" s="1"/>
  <c r="G28" i="2"/>
  <c r="J28" i="2" s="1"/>
  <c r="I28" i="2"/>
  <c r="L28" i="2" s="1"/>
  <c r="H28" i="2"/>
  <c r="K28" i="2" s="1"/>
  <c r="G29" i="2"/>
  <c r="J29" i="2" s="1"/>
  <c r="I26" i="2"/>
  <c r="L26" i="2" s="1"/>
  <c r="H27" i="2"/>
  <c r="K27" i="2" s="1"/>
  <c r="I29" i="2"/>
  <c r="L29" i="2" s="1"/>
  <c r="T114" i="3"/>
  <c r="T113" i="3"/>
  <c r="P115" i="3" s="1"/>
  <c r="R115" i="3" s="1"/>
  <c r="B79" i="3"/>
  <c r="D79" i="3" s="1"/>
  <c r="H41" i="3"/>
  <c r="H40" i="3"/>
  <c r="F21" i="4"/>
  <c r="L39" i="2"/>
  <c r="K39" i="2"/>
  <c r="J39" i="2"/>
  <c r="L38" i="2"/>
  <c r="K38" i="2"/>
  <c r="J38" i="2"/>
  <c r="L37" i="2"/>
  <c r="K37" i="2"/>
  <c r="J37" i="2"/>
  <c r="L36" i="2"/>
  <c r="K36" i="2"/>
  <c r="J36" i="2"/>
  <c r="L24" i="2"/>
  <c r="K24" i="2"/>
  <c r="J24" i="2"/>
  <c r="L23" i="2"/>
  <c r="K23" i="2"/>
  <c r="J23" i="2"/>
  <c r="L22" i="2"/>
  <c r="K22" i="2"/>
  <c r="L21" i="2"/>
  <c r="K21" i="2"/>
  <c r="J21" i="2"/>
  <c r="T106" i="3"/>
  <c r="I107" i="3" l="1"/>
  <c r="K107" i="3" s="1"/>
  <c r="P107" i="3"/>
  <c r="R107" i="3" s="1"/>
  <c r="B35" i="4"/>
  <c r="P59" i="3"/>
  <c r="R59" i="3" s="1"/>
  <c r="H37" i="3"/>
  <c r="H10" i="4"/>
  <c r="E115" i="3"/>
  <c r="L87" i="3"/>
  <c r="I9" i="4"/>
  <c r="I10" i="4"/>
  <c r="L115" i="3"/>
  <c r="H70" i="3"/>
  <c r="H67" i="3"/>
  <c r="H66" i="3"/>
  <c r="F47" i="3"/>
  <c r="B27" i="4"/>
  <c r="T30" i="3"/>
  <c r="T29" i="3"/>
  <c r="H12" i="3"/>
  <c r="H13" i="3"/>
  <c r="S107" i="3"/>
  <c r="G10" i="4"/>
  <c r="H96" i="3"/>
  <c r="C18" i="4"/>
  <c r="H95" i="3"/>
  <c r="H94" i="3"/>
  <c r="T86" i="3"/>
  <c r="T84" i="3"/>
  <c r="T85" i="3"/>
  <c r="F86" i="3"/>
  <c r="F85" i="3"/>
  <c r="F84" i="3"/>
  <c r="B87" i="3" s="1"/>
  <c r="D87" i="3" s="1"/>
  <c r="J29" i="4"/>
  <c r="M78" i="3"/>
  <c r="J28" i="4"/>
  <c r="M77" i="3"/>
  <c r="T78" i="3"/>
  <c r="T77" i="3"/>
  <c r="T76" i="3"/>
  <c r="P79" i="3" s="1"/>
  <c r="R79" i="3" s="1"/>
  <c r="H65" i="3"/>
  <c r="H69" i="3"/>
  <c r="S59" i="3"/>
  <c r="J8" i="4"/>
  <c r="M57" i="3"/>
  <c r="M58" i="3"/>
  <c r="M56" i="3"/>
  <c r="I59" i="3" s="1"/>
  <c r="K59" i="3" s="1"/>
  <c r="F57" i="3"/>
  <c r="F58" i="3"/>
  <c r="F56" i="3"/>
  <c r="B59" i="3" s="1"/>
  <c r="D59" i="3" s="1"/>
  <c r="T49" i="3"/>
  <c r="T50" i="3"/>
  <c r="T48" i="3"/>
  <c r="P51" i="3" s="1"/>
  <c r="R51" i="3" s="1"/>
  <c r="M49" i="3"/>
  <c r="M50" i="3"/>
  <c r="M48" i="3"/>
  <c r="I51" i="3" s="1"/>
  <c r="K51" i="3" s="1"/>
  <c r="F49" i="3"/>
  <c r="F50" i="3"/>
  <c r="F48" i="3"/>
  <c r="H39" i="3"/>
  <c r="H42" i="3"/>
  <c r="H38" i="3"/>
  <c r="B43" i="3" s="1"/>
  <c r="D43" i="3" s="1"/>
  <c r="T27" i="3"/>
  <c r="P31" i="3" s="1"/>
  <c r="R31" i="3" s="1"/>
  <c r="Q36" i="4"/>
  <c r="I35" i="4"/>
  <c r="M37" i="4" s="1"/>
  <c r="F47" i="4" s="1"/>
  <c r="M28" i="3"/>
  <c r="E31" i="3"/>
  <c r="H7" i="4"/>
  <c r="T22" i="3"/>
  <c r="P29" i="4"/>
  <c r="T20" i="3"/>
  <c r="P23" i="3" s="1"/>
  <c r="R23" i="3" s="1"/>
  <c r="P27" i="4"/>
  <c r="T28" i="4" s="1"/>
  <c r="D46" i="4" s="1"/>
  <c r="M21" i="3"/>
  <c r="I28" i="4"/>
  <c r="M20" i="3"/>
  <c r="I27" i="4"/>
  <c r="D20" i="4"/>
  <c r="H9" i="3"/>
  <c r="M47" i="2"/>
  <c r="N47" i="2"/>
  <c r="N48" i="2"/>
  <c r="M48" i="2"/>
  <c r="M49" i="2"/>
  <c r="N49" i="2"/>
  <c r="N46" i="2"/>
  <c r="M46" i="2"/>
  <c r="G41" i="2"/>
  <c r="J41" i="2" s="1"/>
  <c r="H41" i="2"/>
  <c r="K41" i="2" s="1"/>
  <c r="G42" i="2"/>
  <c r="J42" i="2" s="1"/>
  <c r="H42" i="2"/>
  <c r="K42" i="2" s="1"/>
  <c r="I42" i="2"/>
  <c r="L42" i="2" s="1"/>
  <c r="G43" i="2"/>
  <c r="J43" i="2" s="1"/>
  <c r="H43" i="2"/>
  <c r="K43" i="2" s="1"/>
  <c r="I43" i="2"/>
  <c r="L43" i="2" s="1"/>
  <c r="G44" i="2"/>
  <c r="J44" i="2" s="1"/>
  <c r="H44" i="2"/>
  <c r="K44" i="2" s="1"/>
  <c r="I44" i="2"/>
  <c r="L44" i="2" s="1"/>
  <c r="G31" i="2"/>
  <c r="J31" i="2" s="1"/>
  <c r="H31" i="2"/>
  <c r="K31" i="2" s="1"/>
  <c r="G32" i="2"/>
  <c r="J32" i="2" s="1"/>
  <c r="H32" i="2"/>
  <c r="K32" i="2" s="1"/>
  <c r="G33" i="2"/>
  <c r="J33" i="2" s="1"/>
  <c r="H33" i="2"/>
  <c r="K33" i="2" s="1"/>
  <c r="I33" i="2"/>
  <c r="L33" i="2" s="1"/>
  <c r="G34" i="2"/>
  <c r="J34" i="2" s="1"/>
  <c r="H34" i="2"/>
  <c r="K34" i="2" s="1"/>
  <c r="I34" i="2"/>
  <c r="L34" i="2" s="1"/>
  <c r="I32" i="2"/>
  <c r="L32" i="2" s="1"/>
  <c r="N26" i="2"/>
  <c r="M26" i="2"/>
  <c r="M27" i="2"/>
  <c r="N27" i="2"/>
  <c r="N28" i="2"/>
  <c r="M28" i="2"/>
  <c r="M29" i="2"/>
  <c r="N29" i="2"/>
  <c r="S115" i="3"/>
  <c r="J10" i="4"/>
  <c r="E10" i="4"/>
  <c r="E107" i="3"/>
  <c r="E9" i="4"/>
  <c r="E79" i="3"/>
  <c r="M39" i="2"/>
  <c r="N39" i="2"/>
  <c r="N38" i="2"/>
  <c r="M38" i="2"/>
  <c r="N37" i="2"/>
  <c r="M37" i="2"/>
  <c r="N36" i="2"/>
  <c r="M36" i="2"/>
  <c r="N24" i="2"/>
  <c r="M24" i="2"/>
  <c r="N23" i="2"/>
  <c r="M23" i="2"/>
  <c r="N22" i="2"/>
  <c r="M22" i="2"/>
  <c r="N21" i="2"/>
  <c r="M21" i="2"/>
  <c r="M76" i="3"/>
  <c r="H98" i="3"/>
  <c r="B21" i="4"/>
  <c r="M30" i="3"/>
  <c r="M29" i="3"/>
  <c r="E7" i="4"/>
  <c r="E23" i="3"/>
  <c r="M19" i="3"/>
  <c r="M22" i="3"/>
  <c r="E21" i="4"/>
  <c r="H14" i="3"/>
  <c r="H11" i="3"/>
  <c r="H10" i="3"/>
  <c r="F10" i="4" l="1"/>
  <c r="L107" i="3"/>
  <c r="I79" i="3"/>
  <c r="K79" i="3" s="1"/>
  <c r="F34" i="4"/>
  <c r="F35" i="4"/>
  <c r="E45" i="4" s="1"/>
  <c r="F37" i="4"/>
  <c r="E47" i="4" s="1"/>
  <c r="F36" i="4"/>
  <c r="E46" i="4" s="1"/>
  <c r="F26" i="4"/>
  <c r="F27" i="4"/>
  <c r="B45" i="4" s="1"/>
  <c r="F28" i="4"/>
  <c r="B46" i="4" s="1"/>
  <c r="F29" i="4"/>
  <c r="B47" i="4" s="1"/>
  <c r="T36" i="4"/>
  <c r="G46" i="4" s="1"/>
  <c r="T34" i="4"/>
  <c r="T35" i="4"/>
  <c r="G45" i="4" s="1"/>
  <c r="T37" i="4"/>
  <c r="G47" i="4" s="1"/>
  <c r="H9" i="4"/>
  <c r="E87" i="3"/>
  <c r="G9" i="4"/>
  <c r="S79" i="3"/>
  <c r="I8" i="4"/>
  <c r="L59" i="3"/>
  <c r="H8" i="4"/>
  <c r="E59" i="3"/>
  <c r="G8" i="4"/>
  <c r="S51" i="3"/>
  <c r="L51" i="3"/>
  <c r="F8" i="4"/>
  <c r="C8" i="4"/>
  <c r="E43" i="3"/>
  <c r="S31" i="3"/>
  <c r="J7" i="4"/>
  <c r="G44" i="4"/>
  <c r="P38" i="4"/>
  <c r="R38" i="4" s="1"/>
  <c r="S38" i="4" s="1"/>
  <c r="M34" i="4"/>
  <c r="M36" i="4"/>
  <c r="F46" i="4" s="1"/>
  <c r="M35" i="4"/>
  <c r="F45" i="4" s="1"/>
  <c r="E44" i="4"/>
  <c r="B38" i="4"/>
  <c r="D38" i="4" s="1"/>
  <c r="E38" i="4" s="1"/>
  <c r="B44" i="4"/>
  <c r="B30" i="4"/>
  <c r="D30" i="4" s="1"/>
  <c r="E30" i="4" s="1"/>
  <c r="T26" i="4"/>
  <c r="T27" i="4"/>
  <c r="D45" i="4" s="1"/>
  <c r="M26" i="4"/>
  <c r="M27" i="4"/>
  <c r="C45" i="4" s="1"/>
  <c r="M41" i="2"/>
  <c r="N41" i="2"/>
  <c r="N42" i="2"/>
  <c r="M42" i="2"/>
  <c r="N43" i="2"/>
  <c r="M43" i="2"/>
  <c r="M44" i="2"/>
  <c r="N44" i="2"/>
  <c r="M31" i="2"/>
  <c r="D53" i="2" s="1"/>
  <c r="N31" i="2"/>
  <c r="E53" i="2" s="1"/>
  <c r="N32" i="2"/>
  <c r="E54" i="2" s="1"/>
  <c r="M32" i="2"/>
  <c r="N33" i="2"/>
  <c r="M33" i="2"/>
  <c r="N34" i="2"/>
  <c r="M34" i="2"/>
  <c r="F9" i="4"/>
  <c r="L79" i="3"/>
  <c r="M17" i="5"/>
  <c r="M16" i="5"/>
  <c r="B99" i="3"/>
  <c r="D99" i="3" s="1"/>
  <c r="P87" i="3"/>
  <c r="R87" i="3" s="1"/>
  <c r="M29" i="4"/>
  <c r="C47" i="4" s="1"/>
  <c r="B71" i="3"/>
  <c r="D71" i="3" s="1"/>
  <c r="B51" i="3"/>
  <c r="D51" i="3" s="1"/>
  <c r="I31" i="3"/>
  <c r="K31" i="3" s="1"/>
  <c r="T29" i="4"/>
  <c r="D47" i="4" s="1"/>
  <c r="M28" i="4"/>
  <c r="C46" i="4" s="1"/>
  <c r="H20" i="4"/>
  <c r="F43" i="4" s="1"/>
  <c r="B15" i="3"/>
  <c r="D15" i="3" s="1"/>
  <c r="H21" i="4"/>
  <c r="G43" i="4" s="1"/>
  <c r="I23" i="3"/>
  <c r="K23" i="3" s="1"/>
  <c r="H18" i="4"/>
  <c r="D43" i="4" s="1"/>
  <c r="H16" i="4"/>
  <c r="H19" i="4"/>
  <c r="E43" i="4" s="1"/>
  <c r="H17" i="4"/>
  <c r="C43" i="4" s="1"/>
  <c r="S23" i="3"/>
  <c r="G7" i="4"/>
  <c r="F53" i="2" l="1"/>
  <c r="F6" i="5" s="1"/>
  <c r="F44" i="4"/>
  <c r="I38" i="4"/>
  <c r="K38" i="4" s="1"/>
  <c r="L38" i="4" s="1"/>
  <c r="J16" i="5"/>
  <c r="N16" i="5" s="1"/>
  <c r="P30" i="4"/>
  <c r="R30" i="4" s="1"/>
  <c r="S30" i="4" s="1"/>
  <c r="D44" i="4"/>
  <c r="I30" i="4"/>
  <c r="K30" i="4" s="1"/>
  <c r="L30" i="4" s="1"/>
  <c r="C44" i="4"/>
  <c r="C10" i="4"/>
  <c r="E99" i="3"/>
  <c r="J9" i="4"/>
  <c r="S87" i="3"/>
  <c r="C9" i="4"/>
  <c r="E71" i="3"/>
  <c r="E51" i="3"/>
  <c r="E8" i="4"/>
  <c r="I7" i="4"/>
  <c r="L31" i="3"/>
  <c r="H15" i="5"/>
  <c r="H18" i="5"/>
  <c r="H20" i="5"/>
  <c r="H19" i="5"/>
  <c r="H21" i="5"/>
  <c r="C7" i="4"/>
  <c r="G11" i="4" s="1"/>
  <c r="E15" i="3"/>
  <c r="I15" i="5"/>
  <c r="I18" i="5"/>
  <c r="I19" i="5"/>
  <c r="I20" i="5"/>
  <c r="I21" i="5"/>
  <c r="F7" i="4"/>
  <c r="L23" i="3"/>
  <c r="F21" i="5"/>
  <c r="F19" i="5"/>
  <c r="F20" i="5"/>
  <c r="F18" i="5"/>
  <c r="F15" i="5"/>
  <c r="B22" i="4"/>
  <c r="D22" i="4" s="1"/>
  <c r="E22" i="4" s="1"/>
  <c r="B43" i="4"/>
  <c r="G15" i="5"/>
  <c r="G18" i="5"/>
  <c r="G19" i="5"/>
  <c r="G20" i="5"/>
  <c r="G21" i="5"/>
  <c r="E15" i="5"/>
  <c r="E18" i="5"/>
  <c r="E19" i="5"/>
  <c r="E20" i="5"/>
  <c r="E21" i="5"/>
  <c r="D54" i="2"/>
  <c r="F54" i="2" s="1"/>
  <c r="E55" i="2"/>
  <c r="D55" i="2"/>
  <c r="E56" i="2"/>
  <c r="D56" i="2"/>
  <c r="K16" i="5"/>
  <c r="H45" i="4"/>
  <c r="K17" i="5"/>
  <c r="L17" i="5"/>
  <c r="L16" i="5"/>
  <c r="J17" i="5" l="1"/>
  <c r="N17" i="5" s="1"/>
  <c r="H44" i="4"/>
  <c r="H46" i="4"/>
  <c r="I44" i="4" s="1"/>
  <c r="H47" i="4"/>
  <c r="D15" i="5"/>
  <c r="D18" i="5"/>
  <c r="D19" i="5"/>
  <c r="D20" i="5"/>
  <c r="D21" i="5"/>
  <c r="F7" i="5"/>
  <c r="G54" i="2"/>
  <c r="G7" i="5" s="1"/>
  <c r="H7" i="5"/>
  <c r="F55" i="2"/>
  <c r="F56" i="2"/>
  <c r="I45" i="4" l="1"/>
  <c r="I7" i="5" s="1"/>
  <c r="J7" i="5" s="1"/>
  <c r="H6" i="5"/>
  <c r="F49" i="4"/>
  <c r="I6" i="5"/>
  <c r="I46" i="4"/>
  <c r="I8" i="5" s="1"/>
  <c r="H8" i="5"/>
  <c r="H9" i="5"/>
  <c r="I47" i="4"/>
  <c r="I9" i="5" s="1"/>
  <c r="J15" i="5"/>
  <c r="M15" i="5"/>
  <c r="K15" i="5"/>
  <c r="L15" i="5"/>
  <c r="J18" i="5"/>
  <c r="K18" i="5"/>
  <c r="L18" i="5"/>
  <c r="M18" i="5"/>
  <c r="M19" i="5"/>
  <c r="J19" i="5"/>
  <c r="L19" i="5"/>
  <c r="K19" i="5"/>
  <c r="J20" i="5"/>
  <c r="L20" i="5"/>
  <c r="M20" i="5"/>
  <c r="K20" i="5"/>
  <c r="L21" i="5"/>
  <c r="J21" i="5"/>
  <c r="K21" i="5"/>
  <c r="M21" i="5"/>
  <c r="G55" i="2"/>
  <c r="G8" i="5" s="1"/>
  <c r="J8" i="5" s="1"/>
  <c r="F8" i="5"/>
  <c r="G53" i="2"/>
  <c r="G56" i="2"/>
  <c r="G9" i="5" s="1"/>
  <c r="F9" i="5"/>
  <c r="G6" i="5" l="1"/>
  <c r="J6" i="5" s="1"/>
  <c r="C58" i="2"/>
  <c r="N20" i="5"/>
  <c r="N21" i="5"/>
  <c r="N19" i="5"/>
  <c r="J9" i="5"/>
  <c r="N15" i="5"/>
  <c r="N18" i="5"/>
  <c r="F11" i="5" l="1"/>
</calcChain>
</file>

<file path=xl/sharedStrings.xml><?xml version="1.0" encoding="utf-8"?>
<sst xmlns="http://schemas.openxmlformats.org/spreadsheetml/2006/main" count="895" uniqueCount="125">
  <si>
    <t>Фаза 1. Экспертные оценки важности критериев и альтернатив</t>
  </si>
  <si>
    <t>Шкала 1-10. Каждый эксперт даёт тройку: мин (наименьшее значение, которое он допускает), ожид (наиболее вероятное), макс (наибольшее).</t>
  </si>
  <si>
    <t>Для MIN-критериев (C2, C6) оценивается величина критерия: 10 - очень сложно или очень сильная зависимость.</t>
  </si>
  <si>
    <t>Ячейки на сером фоне - оценки экспертов. Если в тройке нарушен порядок мин &lt;= ожид &lt;= макс, она подсвечивается красным.</t>
  </si>
  <si>
    <t>1. Важность критериев</t>
  </si>
  <si>
    <t>Код</t>
  </si>
  <si>
    <t>Критерий</t>
  </si>
  <si>
    <t>Тип</t>
  </si>
  <si>
    <t>E1 Колесникова А. А.</t>
  </si>
  <si>
    <t>E2 Пашинский П. В.</t>
  </si>
  <si>
    <t>E3 Степаненко А. И.</t>
  </si>
  <si>
    <t>E4 Кащенко А. В.</t>
  </si>
  <si>
    <t>мин</t>
  </si>
  <si>
    <t>ожид</t>
  </si>
  <si>
    <t>макс</t>
  </si>
  <si>
    <t>C1</t>
  </si>
  <si>
    <t>Ясность и формализуемость требований</t>
  </si>
  <si>
    <t>MAX</t>
  </si>
  <si>
    <t>C2</t>
  </si>
  <si>
    <t>Техническая сложность реализации</t>
  </si>
  <si>
    <t>MIN</t>
  </si>
  <si>
    <t>C3</t>
  </si>
  <si>
    <t>Знакомство команды с предметной областью</t>
  </si>
  <si>
    <t>C4</t>
  </si>
  <si>
    <t>Практическая полезность</t>
  </si>
  <si>
    <t>C5</t>
  </si>
  <si>
    <t>Разнообразие видов работ</t>
  </si>
  <si>
    <t>C6</t>
  </si>
  <si>
    <t>Зависимость от внешних систем</t>
  </si>
  <si>
    <t>2. Оценки альтернатив по критериям</t>
  </si>
  <si>
    <t>Альтернатива</t>
  </si>
  <si>
    <t>C1. Ясность и формализуемость требований (MAX)</t>
  </si>
  <si>
    <t>A1</t>
  </si>
  <si>
    <t>Управление системными службами</t>
  </si>
  <si>
    <t>A2</t>
  </si>
  <si>
    <t>Мониторинг доступности</t>
  </si>
  <si>
    <t>A3</t>
  </si>
  <si>
    <t>Контроль резервного копирования</t>
  </si>
  <si>
    <t>A4</t>
  </si>
  <si>
    <t>Бот оповещений аудита</t>
  </si>
  <si>
    <t>C2. Техническая сложность реализации (MIN)</t>
  </si>
  <si>
    <t>C3. Знакомство команды с предметной областью (MAX)</t>
  </si>
  <si>
    <t>C4. Практическая полезность (MAX)</t>
  </si>
  <si>
    <t>C5. Разнообразие видов работ (MAX)</t>
  </si>
  <si>
    <t>C6. Зависимость от внешних систем (MIN)</t>
  </si>
  <si>
    <t>Фаза 1. Нечёткий коллективный TOPSIS (метод Чена)</t>
  </si>
  <si>
    <t>Коллективная тройка: l = минимум из «мин» экспертов, m = среднее из «ожид», u = максимум из «макс». Веса делятся на 10, чтобы попасть в [0; 1].</t>
  </si>
  <si>
    <t>Нормализация: MAX - (l/u*, m/u*, u/u*), u* = наибольшее u по критерию; MIN - (l-/u, l-/m, l-/l), l- = наименьшее l по критерию.</t>
  </si>
  <si>
    <t>Взвешивание: покомпонентное умножение на нечёткий вес. FPIS = (1; 1; 1), FNIS = (0; 0; 0).</t>
  </si>
  <si>
    <t>d(a, b) = корень(1/3 * ((a1-b1)^2 + (a2-b2)^2 + (a3-b3)^2)). D+ и D- - суммы d по критериям, CC = D- / (D+ + D-).</t>
  </si>
  <si>
    <t>1. Коллективные нечёткие веса критериев</t>
  </si>
  <si>
    <t>Коллективная оценка</t>
  </si>
  <si>
    <t>Нечёткий вес</t>
  </si>
  <si>
    <t>l</t>
  </si>
  <si>
    <t>m</t>
  </si>
  <si>
    <t>u</t>
  </si>
  <si>
    <t>w_l</t>
  </si>
  <si>
    <t>w_m</t>
  </si>
  <si>
    <t>w_u</t>
  </si>
  <si>
    <t>2. Коллективные оценки, нормализация, взвешивание и расстояния</t>
  </si>
  <si>
    <t>Нормализованная</t>
  </si>
  <si>
    <t>Взвешенная</t>
  </si>
  <si>
    <t>d+</t>
  </si>
  <si>
    <t>d-</t>
  </si>
  <si>
    <t>u* =</t>
  </si>
  <si>
    <t/>
  </si>
  <si>
    <t>l- =</t>
  </si>
  <si>
    <t>3. Коэффициент близости и ранжирование</t>
  </si>
  <si>
    <t>D+</t>
  </si>
  <si>
    <t>D-</t>
  </si>
  <si>
    <t>CC</t>
  </si>
  <si>
    <t>Ранг</t>
  </si>
  <si>
    <t>Наиболее подходящий вариант:</t>
  </si>
  <si>
    <t>Фаза 1. Матрицы парных сравнений экспертов (шкала Саати 1-9)</t>
  </si>
  <si>
    <t>Заполняется только верхний треугольник (серые ячейки), дроби вводятся формулой: =1/3. Диагональ равна 1, нижний треугольник считается как 1/a(j,i).</t>
  </si>
  <si>
    <t>В строке i и столбце j: во сколько раз элемент строки важнее (лучше) элемента столбца. Для MIN-критериев лучше та концепция, у которой значение критерия меньше.</t>
  </si>
  <si>
    <t>w - веса по среднему геометрическому строк, λ = сумма по j (сумма столбца j * w_j), CR = (λ - n)/(n - 1)/RI, RI = 0.90 для n = 4 и 1.24 для n = 6.</t>
  </si>
  <si>
    <t>Эксперт E1: Колесникова А. А.</t>
  </si>
  <si>
    <t>Сравнение критериев по важности</t>
  </si>
  <si>
    <t>w</t>
  </si>
  <si>
    <t>λ</t>
  </si>
  <si>
    <t>CR</t>
  </si>
  <si>
    <t>C1. Ясность требований (MAX)</t>
  </si>
  <si>
    <t>C2. Сложность реализации (MIN)</t>
  </si>
  <si>
    <t>C3. Знакомство с областью (MAX)</t>
  </si>
  <si>
    <t>C4. Полезность (MAX)</t>
  </si>
  <si>
    <t>C5. Разнообразие работ (MAX)</t>
  </si>
  <si>
    <t>C6. Внешние зависимости (MIN)</t>
  </si>
  <si>
    <t>Эксперт E2: Пашинский П. В.</t>
  </si>
  <si>
    <t>Эксперт E3: Степаненко А. И.</t>
  </si>
  <si>
    <t>Эксперт E4: Кащенко А. В.</t>
  </si>
  <si>
    <t>Фаза 1. Чёткий коллективный МАИ</t>
  </si>
  <si>
    <t>Матрицы экспертов объединяются поэлементным средним геометрическим. Веса и CR считаются так же, как на листе «МАИ оценки».</t>
  </si>
  <si>
    <t>Глобальный приоритет альтернативы = сумма по критериям (вес критерия * локальный приоритет альтернативы по этому критерию).</t>
  </si>
  <si>
    <t>1. Согласованность матриц экспертов (CR)</t>
  </si>
  <si>
    <t>Эксперт</t>
  </si>
  <si>
    <t>Критерии</t>
  </si>
  <si>
    <t>E1</t>
  </si>
  <si>
    <t>E2</t>
  </si>
  <si>
    <t>E3</t>
  </si>
  <si>
    <t>E4</t>
  </si>
  <si>
    <t>Матриц с CR &gt;= 0.1:</t>
  </si>
  <si>
    <t>2. Агрегированные матрицы (среднее геометрическое по экспертам)</t>
  </si>
  <si>
    <t>3. Глобальные приоритеты</t>
  </si>
  <si>
    <t>Приоритет</t>
  </si>
  <si>
    <t>Концепция</t>
  </si>
  <si>
    <t>Фаза 1. Сравнение результатов TOPSIS и МАИ</t>
  </si>
  <si>
    <t>Значения берутся с листов «TOPSIS» и «МАИ». Коэффициент Спирмена: rho = 1 - 6 * сумма(d^2) / (n * (n^2 - 1)), d - разница рангов.</t>
  </si>
  <si>
    <t>1. Ранжирование двумя методами</t>
  </si>
  <si>
    <t>CC TOPSIS</t>
  </si>
  <si>
    <t>Приоритет МАИ</t>
  </si>
  <si>
    <t>Разница</t>
  </si>
  <si>
    <t>Коэффициент Спирмена:</t>
  </si>
  <si>
    <t>2. Устойчивость МАИ к весам критериев (локальные приоритеты не меняются)</t>
  </si>
  <si>
    <t>Набор весов</t>
  </si>
  <si>
    <t>Лидер</t>
  </si>
  <si>
    <t>Веса МАИ (базовые)</t>
  </si>
  <si>
    <t>Веса TOPSIS (m)</t>
  </si>
  <si>
    <t>Равные веса</t>
  </si>
  <si>
    <t>Вес C2 x 0.8</t>
  </si>
  <si>
    <t>Вес C2 x 1.2</t>
  </si>
  <si>
    <t>Вес C6 x 0.8</t>
  </si>
  <si>
    <t>Вес C6 x 1.2</t>
  </si>
  <si>
    <t>Выбранная концепция:</t>
  </si>
  <si>
    <t>A1. Сервис управления системными службами серверов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</si>
</sst>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&gt;=1]0;?/?"/>
  </numFmts>
  <fonts count="5" x14ac:knownFonts="1">
    <font>
      <sz val="11"/>
      <color theme="1"/>
      <name val="Calibri"/>
      <family val="2"/>
      <scheme val="minor"/>
    </font>
    <font>
      <b/>
      <sz val="16"/>
      <name val="Times New Roman"/>
    </font>
    <font>
      <sz val="14"/>
      <name val="Times New Roman"/>
    </font>
    <font>
      <b/>
      <sz val="14"/>
      <name val="Times New Roman"/>
    </font>
    <font>
      <b/>
      <sz val="15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E4E4E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67"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workbookViewId="0">
      <selection sqref="A1:O1"/>
    </sheetView>
  </sheetViews>
  <sheetFormatPr defaultRowHeight="15" x14ac:dyDescent="0.25"/>
  <cols>
    <col min="1" max="1" width="8" customWidth="1"/>
    <col min="2" max="2" width="54" customWidth="1"/>
  </cols>
  <sheetData>
    <row r="1" spans="1:15" ht="26.1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21.95" customHeight="1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21.95" customHeight="1" x14ac:dyDescent="0.25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21.95" customHeight="1" x14ac:dyDescent="0.25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spans="1:15" ht="21.95" customHeight="1" x14ac:dyDescent="0.25"/>
    <row r="6" spans="1:15" ht="21.95" customHeight="1" x14ac:dyDescent="0.25">
      <c r="A6" s="1" t="s">
        <v>4</v>
      </c>
    </row>
    <row r="7" spans="1:15" ht="21.95" customHeight="1" x14ac:dyDescent="0.25">
      <c r="A7" s="20" t="s">
        <v>5</v>
      </c>
      <c r="B7" s="20" t="s">
        <v>6</v>
      </c>
      <c r="C7" s="20" t="s">
        <v>7</v>
      </c>
      <c r="D7" s="20" t="s">
        <v>8</v>
      </c>
      <c r="E7" s="20"/>
      <c r="F7" s="20"/>
      <c r="G7" s="20" t="s">
        <v>9</v>
      </c>
      <c r="H7" s="20"/>
      <c r="I7" s="20"/>
      <c r="J7" s="20" t="s">
        <v>10</v>
      </c>
      <c r="K7" s="20"/>
      <c r="L7" s="20"/>
      <c r="M7" s="20" t="s">
        <v>11</v>
      </c>
      <c r="N7" s="20"/>
      <c r="O7" s="20"/>
    </row>
    <row r="8" spans="1:15" ht="21.95" customHeight="1" x14ac:dyDescent="0.25">
      <c r="A8" s="20"/>
      <c r="B8" s="20"/>
      <c r="C8" s="20"/>
      <c r="D8" s="2" t="s">
        <v>12</v>
      </c>
      <c r="E8" s="2" t="s">
        <v>13</v>
      </c>
      <c r="F8" s="2" t="s">
        <v>14</v>
      </c>
      <c r="G8" s="2" t="s">
        <v>12</v>
      </c>
      <c r="H8" s="2" t="s">
        <v>13</v>
      </c>
      <c r="I8" s="2" t="s">
        <v>14</v>
      </c>
      <c r="J8" s="2" t="s">
        <v>12</v>
      </c>
      <c r="K8" s="2" t="s">
        <v>13</v>
      </c>
      <c r="L8" s="2" t="s">
        <v>14</v>
      </c>
      <c r="M8" s="2" t="s">
        <v>12</v>
      </c>
      <c r="N8" s="2" t="s">
        <v>13</v>
      </c>
      <c r="O8" s="2" t="s">
        <v>14</v>
      </c>
    </row>
    <row r="9" spans="1:15" ht="21.95" customHeight="1" x14ac:dyDescent="0.25">
      <c r="A9" s="2" t="s">
        <v>15</v>
      </c>
      <c r="B9" s="3" t="s">
        <v>16</v>
      </c>
      <c r="C9" s="4" t="s">
        <v>17</v>
      </c>
      <c r="D9" s="5">
        <v>7</v>
      </c>
      <c r="E9" s="5">
        <v>8</v>
      </c>
      <c r="F9" s="5">
        <v>9</v>
      </c>
      <c r="G9" s="5">
        <v>6</v>
      </c>
      <c r="H9" s="5">
        <v>7</v>
      </c>
      <c r="I9" s="5">
        <v>9</v>
      </c>
      <c r="J9" s="5">
        <v>8</v>
      </c>
      <c r="K9" s="5">
        <v>9</v>
      </c>
      <c r="L9" s="5">
        <v>10</v>
      </c>
      <c r="M9" s="5">
        <v>6</v>
      </c>
      <c r="N9" s="5">
        <v>7</v>
      </c>
      <c r="O9" s="5">
        <v>8</v>
      </c>
    </row>
    <row r="10" spans="1:15" ht="21.95" customHeight="1" x14ac:dyDescent="0.25">
      <c r="A10" s="2" t="s">
        <v>18</v>
      </c>
      <c r="B10" s="3" t="s">
        <v>19</v>
      </c>
      <c r="C10" s="4" t="s">
        <v>20</v>
      </c>
      <c r="D10" s="5">
        <v>5</v>
      </c>
      <c r="E10" s="5">
        <v>7</v>
      </c>
      <c r="F10" s="5">
        <v>8</v>
      </c>
      <c r="G10" s="5">
        <v>6</v>
      </c>
      <c r="H10" s="5">
        <v>8</v>
      </c>
      <c r="I10" s="5">
        <v>9</v>
      </c>
      <c r="J10" s="5">
        <v>5</v>
      </c>
      <c r="K10" s="5">
        <v>6</v>
      </c>
      <c r="L10" s="5">
        <v>7</v>
      </c>
      <c r="M10" s="5">
        <v>6</v>
      </c>
      <c r="N10" s="5">
        <v>7</v>
      </c>
      <c r="O10" s="5">
        <v>8</v>
      </c>
    </row>
    <row r="11" spans="1:15" ht="21.95" customHeight="1" x14ac:dyDescent="0.25">
      <c r="A11" s="2" t="s">
        <v>21</v>
      </c>
      <c r="B11" s="3" t="s">
        <v>22</v>
      </c>
      <c r="C11" s="4" t="s">
        <v>17</v>
      </c>
      <c r="D11" s="5">
        <v>5</v>
      </c>
      <c r="E11" s="5">
        <v>6</v>
      </c>
      <c r="F11" s="5">
        <v>7</v>
      </c>
      <c r="G11" s="5">
        <v>4</v>
      </c>
      <c r="H11" s="5">
        <v>5</v>
      </c>
      <c r="I11" s="5">
        <v>6</v>
      </c>
      <c r="J11" s="5">
        <v>6</v>
      </c>
      <c r="K11" s="5">
        <v>7</v>
      </c>
      <c r="L11" s="5">
        <v>8</v>
      </c>
      <c r="M11" s="5">
        <v>7</v>
      </c>
      <c r="N11" s="5">
        <v>8</v>
      </c>
      <c r="O11" s="5">
        <v>9</v>
      </c>
    </row>
    <row r="12" spans="1:15" ht="21.95" customHeight="1" x14ac:dyDescent="0.25">
      <c r="A12" s="2" t="s">
        <v>23</v>
      </c>
      <c r="B12" s="3" t="s">
        <v>24</v>
      </c>
      <c r="C12" s="4" t="s">
        <v>17</v>
      </c>
      <c r="D12" s="5">
        <v>4</v>
      </c>
      <c r="E12" s="5">
        <v>5</v>
      </c>
      <c r="F12" s="5">
        <v>6</v>
      </c>
      <c r="G12" s="5">
        <v>5</v>
      </c>
      <c r="H12" s="5">
        <v>6</v>
      </c>
      <c r="I12" s="5">
        <v>7</v>
      </c>
      <c r="J12" s="5">
        <v>3</v>
      </c>
      <c r="K12" s="5">
        <v>4</v>
      </c>
      <c r="L12" s="5">
        <v>6</v>
      </c>
      <c r="M12" s="5">
        <v>5</v>
      </c>
      <c r="N12" s="5">
        <v>6</v>
      </c>
      <c r="O12" s="5">
        <v>7</v>
      </c>
    </row>
    <row r="13" spans="1:15" ht="21.95" customHeight="1" x14ac:dyDescent="0.25">
      <c r="A13" s="2" t="s">
        <v>25</v>
      </c>
      <c r="B13" s="3" t="s">
        <v>26</v>
      </c>
      <c r="C13" s="4" t="s">
        <v>17</v>
      </c>
      <c r="D13" s="5">
        <v>6</v>
      </c>
      <c r="E13" s="5">
        <v>7</v>
      </c>
      <c r="F13" s="5">
        <v>8</v>
      </c>
      <c r="G13" s="5">
        <v>5</v>
      </c>
      <c r="H13" s="5">
        <v>6</v>
      </c>
      <c r="I13" s="5">
        <v>8</v>
      </c>
      <c r="J13" s="5">
        <v>7</v>
      </c>
      <c r="K13" s="5">
        <v>8</v>
      </c>
      <c r="L13" s="5">
        <v>9</v>
      </c>
      <c r="M13" s="5">
        <v>6</v>
      </c>
      <c r="N13" s="5">
        <v>7</v>
      </c>
      <c r="O13" s="5">
        <v>8</v>
      </c>
    </row>
    <row r="14" spans="1:15" ht="21.95" customHeight="1" x14ac:dyDescent="0.25">
      <c r="A14" s="2" t="s">
        <v>27</v>
      </c>
      <c r="B14" s="3" t="s">
        <v>28</v>
      </c>
      <c r="C14" s="4" t="s">
        <v>20</v>
      </c>
      <c r="D14" s="5">
        <v>5</v>
      </c>
      <c r="E14" s="5">
        <v>6</v>
      </c>
      <c r="F14" s="5">
        <v>7</v>
      </c>
      <c r="G14" s="5">
        <v>6</v>
      </c>
      <c r="H14" s="5">
        <v>7</v>
      </c>
      <c r="I14" s="5">
        <v>8</v>
      </c>
      <c r="J14" s="5">
        <v>4</v>
      </c>
      <c r="K14" s="5">
        <v>5</v>
      </c>
      <c r="L14" s="5">
        <v>6</v>
      </c>
      <c r="M14" s="5">
        <v>7</v>
      </c>
      <c r="N14" s="5">
        <v>8</v>
      </c>
      <c r="O14" s="5">
        <v>9</v>
      </c>
    </row>
    <row r="15" spans="1:15" ht="21.95" customHeight="1" x14ac:dyDescent="0.25"/>
    <row r="16" spans="1:15" ht="21.95" customHeight="1" x14ac:dyDescent="0.25">
      <c r="A16" s="1" t="s">
        <v>29</v>
      </c>
    </row>
    <row r="17" spans="1:15" ht="21.95" customHeight="1" x14ac:dyDescent="0.25">
      <c r="A17" s="20" t="s">
        <v>5</v>
      </c>
      <c r="B17" s="20" t="s">
        <v>30</v>
      </c>
      <c r="C17" s="20" t="s">
        <v>7</v>
      </c>
      <c r="D17" s="20" t="s">
        <v>8</v>
      </c>
      <c r="E17" s="20"/>
      <c r="F17" s="20"/>
      <c r="G17" s="20" t="s">
        <v>9</v>
      </c>
      <c r="H17" s="20"/>
      <c r="I17" s="20"/>
      <c r="J17" s="20" t="s">
        <v>10</v>
      </c>
      <c r="K17" s="20"/>
      <c r="L17" s="20"/>
      <c r="M17" s="20" t="s">
        <v>11</v>
      </c>
      <c r="N17" s="20"/>
      <c r="O17" s="20"/>
    </row>
    <row r="18" spans="1:15" ht="21.95" customHeight="1" x14ac:dyDescent="0.25">
      <c r="A18" s="20"/>
      <c r="B18" s="20"/>
      <c r="C18" s="20"/>
      <c r="D18" s="2" t="s">
        <v>12</v>
      </c>
      <c r="E18" s="2" t="s">
        <v>13</v>
      </c>
      <c r="F18" s="2" t="s">
        <v>14</v>
      </c>
      <c r="G18" s="2" t="s">
        <v>12</v>
      </c>
      <c r="H18" s="2" t="s">
        <v>13</v>
      </c>
      <c r="I18" s="2" t="s">
        <v>14</v>
      </c>
      <c r="J18" s="2" t="s">
        <v>12</v>
      </c>
      <c r="K18" s="2" t="s">
        <v>13</v>
      </c>
      <c r="L18" s="2" t="s">
        <v>14</v>
      </c>
      <c r="M18" s="2" t="s">
        <v>12</v>
      </c>
      <c r="N18" s="2" t="s">
        <v>13</v>
      </c>
      <c r="O18" s="2" t="s">
        <v>14</v>
      </c>
    </row>
    <row r="19" spans="1:15" ht="21.95" customHeight="1" x14ac:dyDescent="0.25">
      <c r="A19" s="21" t="s">
        <v>31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21.95" customHeight="1" x14ac:dyDescent="0.25">
      <c r="A20" s="2" t="s">
        <v>32</v>
      </c>
      <c r="B20" s="3" t="s">
        <v>33</v>
      </c>
      <c r="C20" s="4" t="s">
        <v>17</v>
      </c>
      <c r="D20" s="5">
        <v>7</v>
      </c>
      <c r="E20" s="5">
        <v>8</v>
      </c>
      <c r="F20" s="5">
        <v>9</v>
      </c>
      <c r="G20" s="5">
        <v>6</v>
      </c>
      <c r="H20" s="5">
        <v>7</v>
      </c>
      <c r="I20" s="5">
        <v>8</v>
      </c>
      <c r="J20" s="5">
        <v>7</v>
      </c>
      <c r="K20" s="5">
        <v>8</v>
      </c>
      <c r="L20" s="5">
        <v>9</v>
      </c>
      <c r="M20" s="5">
        <v>8</v>
      </c>
      <c r="N20" s="5">
        <v>9</v>
      </c>
      <c r="O20" s="5">
        <v>10</v>
      </c>
    </row>
    <row r="21" spans="1:15" ht="21.95" customHeight="1" x14ac:dyDescent="0.25">
      <c r="A21" s="2" t="s">
        <v>34</v>
      </c>
      <c r="B21" s="3" t="s">
        <v>35</v>
      </c>
      <c r="C21" s="4" t="s">
        <v>17</v>
      </c>
      <c r="D21" s="5">
        <v>7</v>
      </c>
      <c r="E21" s="5">
        <v>8</v>
      </c>
      <c r="F21" s="5">
        <v>9</v>
      </c>
      <c r="G21" s="5">
        <v>7</v>
      </c>
      <c r="H21" s="5">
        <v>8</v>
      </c>
      <c r="I21" s="5">
        <v>9</v>
      </c>
      <c r="J21" s="5">
        <v>6</v>
      </c>
      <c r="K21" s="5">
        <v>7</v>
      </c>
      <c r="L21" s="5">
        <v>9</v>
      </c>
      <c r="M21" s="5">
        <v>7</v>
      </c>
      <c r="N21" s="5">
        <v>8</v>
      </c>
      <c r="O21" s="5">
        <v>9</v>
      </c>
    </row>
    <row r="22" spans="1:15" ht="21.95" customHeight="1" x14ac:dyDescent="0.25">
      <c r="A22" s="2" t="s">
        <v>36</v>
      </c>
      <c r="B22" s="3" t="s">
        <v>37</v>
      </c>
      <c r="C22" s="4" t="s">
        <v>17</v>
      </c>
      <c r="D22" s="5">
        <v>6</v>
      </c>
      <c r="E22" s="5">
        <v>7</v>
      </c>
      <c r="F22" s="5">
        <v>8</v>
      </c>
      <c r="G22" s="5">
        <v>6</v>
      </c>
      <c r="H22" s="5">
        <v>7</v>
      </c>
      <c r="I22" s="5">
        <v>8</v>
      </c>
      <c r="J22" s="5">
        <v>5</v>
      </c>
      <c r="K22" s="5">
        <v>6</v>
      </c>
      <c r="L22" s="5">
        <v>8</v>
      </c>
      <c r="M22" s="5">
        <v>6</v>
      </c>
      <c r="N22" s="5">
        <v>7</v>
      </c>
      <c r="O22" s="5">
        <v>8</v>
      </c>
    </row>
    <row r="23" spans="1:15" ht="21.95" customHeight="1" x14ac:dyDescent="0.25">
      <c r="A23" s="2" t="s">
        <v>38</v>
      </c>
      <c r="B23" s="3" t="s">
        <v>39</v>
      </c>
      <c r="C23" s="4" t="s">
        <v>17</v>
      </c>
      <c r="D23" s="5">
        <v>5</v>
      </c>
      <c r="E23" s="5">
        <v>6</v>
      </c>
      <c r="F23" s="5">
        <v>7</v>
      </c>
      <c r="G23" s="5">
        <v>4</v>
      </c>
      <c r="H23" s="5">
        <v>5</v>
      </c>
      <c r="I23" s="5">
        <v>7</v>
      </c>
      <c r="J23" s="5">
        <v>5</v>
      </c>
      <c r="K23" s="5">
        <v>6</v>
      </c>
      <c r="L23" s="5">
        <v>7</v>
      </c>
      <c r="M23" s="5">
        <v>6</v>
      </c>
      <c r="N23" s="5">
        <v>7</v>
      </c>
      <c r="O23" s="5">
        <v>8</v>
      </c>
    </row>
    <row r="24" spans="1:15" ht="21.95" customHeight="1" x14ac:dyDescent="0.25">
      <c r="A24" s="21" t="s">
        <v>40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</row>
    <row r="25" spans="1:15" ht="21.95" customHeight="1" x14ac:dyDescent="0.25">
      <c r="A25" s="2" t="s">
        <v>32</v>
      </c>
      <c r="B25" s="3" t="s">
        <v>33</v>
      </c>
      <c r="C25" s="4" t="s">
        <v>20</v>
      </c>
      <c r="D25" s="5">
        <v>6</v>
      </c>
      <c r="E25" s="5">
        <v>7</v>
      </c>
      <c r="F25" s="5">
        <v>8</v>
      </c>
      <c r="G25" s="5">
        <v>7</v>
      </c>
      <c r="H25" s="5">
        <v>8</v>
      </c>
      <c r="I25" s="5">
        <v>9</v>
      </c>
      <c r="J25" s="5">
        <v>6</v>
      </c>
      <c r="K25" s="5">
        <v>7</v>
      </c>
      <c r="L25" s="5">
        <v>9</v>
      </c>
      <c r="M25" s="5">
        <v>5</v>
      </c>
      <c r="N25" s="5">
        <v>6</v>
      </c>
      <c r="O25" s="5">
        <v>8</v>
      </c>
    </row>
    <row r="26" spans="1:15" ht="21.95" customHeight="1" x14ac:dyDescent="0.25">
      <c r="A26" s="2" t="s">
        <v>34</v>
      </c>
      <c r="B26" s="3" t="s">
        <v>35</v>
      </c>
      <c r="C26" s="4" t="s">
        <v>20</v>
      </c>
      <c r="D26" s="5">
        <v>4</v>
      </c>
      <c r="E26" s="5">
        <v>5</v>
      </c>
      <c r="F26" s="5">
        <v>6</v>
      </c>
      <c r="G26" s="5">
        <v>4</v>
      </c>
      <c r="H26" s="5">
        <v>5</v>
      </c>
      <c r="I26" s="5">
        <v>7</v>
      </c>
      <c r="J26" s="5">
        <v>5</v>
      </c>
      <c r="K26" s="5">
        <v>6</v>
      </c>
      <c r="L26" s="5">
        <v>7</v>
      </c>
      <c r="M26" s="5">
        <v>4</v>
      </c>
      <c r="N26" s="5">
        <v>5</v>
      </c>
      <c r="O26" s="5">
        <v>6</v>
      </c>
    </row>
    <row r="27" spans="1:15" ht="21.95" customHeight="1" x14ac:dyDescent="0.25">
      <c r="A27" s="2" t="s">
        <v>36</v>
      </c>
      <c r="B27" s="3" t="s">
        <v>37</v>
      </c>
      <c r="C27" s="4" t="s">
        <v>20</v>
      </c>
      <c r="D27" s="5">
        <v>4</v>
      </c>
      <c r="E27" s="5">
        <v>5</v>
      </c>
      <c r="F27" s="5">
        <v>7</v>
      </c>
      <c r="G27" s="5">
        <v>4</v>
      </c>
      <c r="H27" s="5">
        <v>6</v>
      </c>
      <c r="I27" s="5">
        <v>7</v>
      </c>
      <c r="J27" s="5">
        <v>4</v>
      </c>
      <c r="K27" s="5">
        <v>5</v>
      </c>
      <c r="L27" s="5">
        <v>6</v>
      </c>
      <c r="M27" s="5">
        <v>5</v>
      </c>
      <c r="N27" s="5">
        <v>6</v>
      </c>
      <c r="O27" s="5">
        <v>7</v>
      </c>
    </row>
    <row r="28" spans="1:15" ht="21.95" customHeight="1" x14ac:dyDescent="0.25">
      <c r="A28" s="2" t="s">
        <v>38</v>
      </c>
      <c r="B28" s="3" t="s">
        <v>39</v>
      </c>
      <c r="C28" s="4" t="s">
        <v>20</v>
      </c>
      <c r="D28" s="5">
        <v>5</v>
      </c>
      <c r="E28" s="5">
        <v>6</v>
      </c>
      <c r="F28" s="5">
        <v>7</v>
      </c>
      <c r="G28" s="5">
        <v>5</v>
      </c>
      <c r="H28" s="5">
        <v>6</v>
      </c>
      <c r="I28" s="5">
        <v>8</v>
      </c>
      <c r="J28" s="5">
        <v>4</v>
      </c>
      <c r="K28" s="5">
        <v>5</v>
      </c>
      <c r="L28" s="5">
        <v>7</v>
      </c>
      <c r="M28" s="5">
        <v>5</v>
      </c>
      <c r="N28" s="5">
        <v>6</v>
      </c>
      <c r="O28" s="5">
        <v>7</v>
      </c>
    </row>
    <row r="29" spans="1:15" ht="21.95" customHeight="1" x14ac:dyDescent="0.25">
      <c r="A29" s="21" t="s">
        <v>41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</row>
    <row r="30" spans="1:15" ht="21.95" customHeight="1" x14ac:dyDescent="0.25">
      <c r="A30" s="2" t="s">
        <v>32</v>
      </c>
      <c r="B30" s="3" t="s">
        <v>33</v>
      </c>
      <c r="C30" s="4" t="s">
        <v>17</v>
      </c>
      <c r="D30" s="5">
        <v>5</v>
      </c>
      <c r="E30" s="5">
        <v>6</v>
      </c>
      <c r="F30" s="5">
        <v>7</v>
      </c>
      <c r="G30" s="5">
        <v>5</v>
      </c>
      <c r="H30" s="5">
        <v>6</v>
      </c>
      <c r="I30" s="5">
        <v>8</v>
      </c>
      <c r="J30" s="5">
        <v>6</v>
      </c>
      <c r="K30" s="5">
        <v>7</v>
      </c>
      <c r="L30" s="5">
        <v>8</v>
      </c>
      <c r="M30" s="5">
        <v>8</v>
      </c>
      <c r="N30" s="5">
        <v>9</v>
      </c>
      <c r="O30" s="5">
        <v>10</v>
      </c>
    </row>
    <row r="31" spans="1:15" ht="21.95" customHeight="1" x14ac:dyDescent="0.25">
      <c r="A31" s="2" t="s">
        <v>34</v>
      </c>
      <c r="B31" s="3" t="s">
        <v>35</v>
      </c>
      <c r="C31" s="4" t="s">
        <v>17</v>
      </c>
      <c r="D31" s="5">
        <v>6</v>
      </c>
      <c r="E31" s="5">
        <v>7</v>
      </c>
      <c r="F31" s="5">
        <v>8</v>
      </c>
      <c r="G31" s="5">
        <v>6</v>
      </c>
      <c r="H31" s="5">
        <v>7</v>
      </c>
      <c r="I31" s="5">
        <v>8</v>
      </c>
      <c r="J31" s="5">
        <v>7</v>
      </c>
      <c r="K31" s="5">
        <v>8</v>
      </c>
      <c r="L31" s="5">
        <v>9</v>
      </c>
      <c r="M31" s="5">
        <v>6</v>
      </c>
      <c r="N31" s="5">
        <v>7</v>
      </c>
      <c r="O31" s="5">
        <v>8</v>
      </c>
    </row>
    <row r="32" spans="1:15" ht="21.95" customHeight="1" x14ac:dyDescent="0.25">
      <c r="A32" s="2" t="s">
        <v>36</v>
      </c>
      <c r="B32" s="3" t="s">
        <v>37</v>
      </c>
      <c r="C32" s="4" t="s">
        <v>17</v>
      </c>
      <c r="D32" s="5">
        <v>4</v>
      </c>
      <c r="E32" s="5">
        <v>5</v>
      </c>
      <c r="F32" s="5">
        <v>6</v>
      </c>
      <c r="G32" s="5">
        <v>4</v>
      </c>
      <c r="H32" s="5">
        <v>5</v>
      </c>
      <c r="I32" s="5">
        <v>7</v>
      </c>
      <c r="J32" s="5">
        <v>5</v>
      </c>
      <c r="K32" s="5">
        <v>6</v>
      </c>
      <c r="L32" s="5">
        <v>7</v>
      </c>
      <c r="M32" s="5">
        <v>5</v>
      </c>
      <c r="N32" s="5">
        <v>6</v>
      </c>
      <c r="O32" s="5">
        <v>7</v>
      </c>
    </row>
    <row r="33" spans="1:15" ht="21.95" customHeight="1" x14ac:dyDescent="0.25">
      <c r="A33" s="2" t="s">
        <v>38</v>
      </c>
      <c r="B33" s="3" t="s">
        <v>39</v>
      </c>
      <c r="C33" s="4" t="s">
        <v>17</v>
      </c>
      <c r="D33" s="5">
        <v>6</v>
      </c>
      <c r="E33" s="5">
        <v>7</v>
      </c>
      <c r="F33" s="5">
        <v>8</v>
      </c>
      <c r="G33" s="5">
        <v>5</v>
      </c>
      <c r="H33" s="5">
        <v>6</v>
      </c>
      <c r="I33" s="5">
        <v>7</v>
      </c>
      <c r="J33" s="5">
        <v>5</v>
      </c>
      <c r="K33" s="5">
        <v>6</v>
      </c>
      <c r="L33" s="5">
        <v>8</v>
      </c>
      <c r="M33" s="5">
        <v>6</v>
      </c>
      <c r="N33" s="5">
        <v>7</v>
      </c>
      <c r="O33" s="5">
        <v>8</v>
      </c>
    </row>
    <row r="34" spans="1:15" ht="21.95" customHeight="1" x14ac:dyDescent="0.25">
      <c r="A34" s="21" t="s">
        <v>42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</row>
    <row r="35" spans="1:15" ht="21.95" customHeight="1" x14ac:dyDescent="0.25">
      <c r="A35" s="2" t="s">
        <v>32</v>
      </c>
      <c r="B35" s="3" t="s">
        <v>33</v>
      </c>
      <c r="C35" s="4" t="s">
        <v>17</v>
      </c>
      <c r="D35" s="5">
        <v>6</v>
      </c>
      <c r="E35" s="5">
        <v>7</v>
      </c>
      <c r="F35" s="5">
        <v>8</v>
      </c>
      <c r="G35" s="5">
        <v>6</v>
      </c>
      <c r="H35" s="5">
        <v>7</v>
      </c>
      <c r="I35" s="5">
        <v>9</v>
      </c>
      <c r="J35" s="5">
        <v>5</v>
      </c>
      <c r="K35" s="5">
        <v>6</v>
      </c>
      <c r="L35" s="5">
        <v>8</v>
      </c>
      <c r="M35" s="5">
        <v>7</v>
      </c>
      <c r="N35" s="5">
        <v>8</v>
      </c>
      <c r="O35" s="5">
        <v>9</v>
      </c>
    </row>
    <row r="36" spans="1:15" ht="21.95" customHeight="1" x14ac:dyDescent="0.25">
      <c r="A36" s="2" t="s">
        <v>34</v>
      </c>
      <c r="B36" s="3" t="s">
        <v>35</v>
      </c>
      <c r="C36" s="4" t="s">
        <v>17</v>
      </c>
      <c r="D36" s="5">
        <v>7</v>
      </c>
      <c r="E36" s="5">
        <v>8</v>
      </c>
      <c r="F36" s="5">
        <v>9</v>
      </c>
      <c r="G36" s="5">
        <v>7</v>
      </c>
      <c r="H36" s="5">
        <v>8</v>
      </c>
      <c r="I36" s="5">
        <v>9</v>
      </c>
      <c r="J36" s="5">
        <v>6</v>
      </c>
      <c r="K36" s="5">
        <v>7</v>
      </c>
      <c r="L36" s="5">
        <v>8</v>
      </c>
      <c r="M36" s="5">
        <v>6</v>
      </c>
      <c r="N36" s="5">
        <v>7</v>
      </c>
      <c r="O36" s="5">
        <v>9</v>
      </c>
    </row>
    <row r="37" spans="1:15" ht="21.95" customHeight="1" x14ac:dyDescent="0.25">
      <c r="A37" s="2" t="s">
        <v>36</v>
      </c>
      <c r="B37" s="3" t="s">
        <v>37</v>
      </c>
      <c r="C37" s="4" t="s">
        <v>17</v>
      </c>
      <c r="D37" s="5">
        <v>6</v>
      </c>
      <c r="E37" s="5">
        <v>7</v>
      </c>
      <c r="F37" s="5">
        <v>8</v>
      </c>
      <c r="G37" s="5">
        <v>7</v>
      </c>
      <c r="H37" s="5">
        <v>8</v>
      </c>
      <c r="I37" s="5">
        <v>9</v>
      </c>
      <c r="J37" s="5">
        <v>6</v>
      </c>
      <c r="K37" s="5">
        <v>7</v>
      </c>
      <c r="L37" s="5">
        <v>8</v>
      </c>
      <c r="M37" s="5">
        <v>6</v>
      </c>
      <c r="N37" s="5">
        <v>7</v>
      </c>
      <c r="O37" s="5">
        <v>8</v>
      </c>
    </row>
    <row r="38" spans="1:15" ht="21.95" customHeight="1" x14ac:dyDescent="0.25">
      <c r="A38" s="2" t="s">
        <v>38</v>
      </c>
      <c r="B38" s="3" t="s">
        <v>39</v>
      </c>
      <c r="C38" s="4" t="s">
        <v>17</v>
      </c>
      <c r="D38" s="5">
        <v>5</v>
      </c>
      <c r="E38" s="5">
        <v>6</v>
      </c>
      <c r="F38" s="5">
        <v>7</v>
      </c>
      <c r="G38" s="5">
        <v>5</v>
      </c>
      <c r="H38" s="5">
        <v>6</v>
      </c>
      <c r="I38" s="5">
        <v>8</v>
      </c>
      <c r="J38" s="5">
        <v>6</v>
      </c>
      <c r="K38" s="5">
        <v>7</v>
      </c>
      <c r="L38" s="5">
        <v>8</v>
      </c>
      <c r="M38" s="5">
        <v>5</v>
      </c>
      <c r="N38" s="5">
        <v>6</v>
      </c>
      <c r="O38" s="5">
        <v>7</v>
      </c>
    </row>
    <row r="39" spans="1:15" ht="21.95" customHeight="1" x14ac:dyDescent="0.25">
      <c r="A39" s="21" t="s">
        <v>43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</row>
    <row r="40" spans="1:15" ht="21.95" customHeight="1" x14ac:dyDescent="0.25">
      <c r="A40" s="2" t="s">
        <v>32</v>
      </c>
      <c r="B40" s="3" t="s">
        <v>33</v>
      </c>
      <c r="C40" s="4" t="s">
        <v>17</v>
      </c>
      <c r="D40" s="5">
        <v>6</v>
      </c>
      <c r="E40" s="5">
        <v>7</v>
      </c>
      <c r="F40" s="5">
        <v>8</v>
      </c>
      <c r="G40" s="5">
        <v>5</v>
      </c>
      <c r="H40" s="5">
        <v>7</v>
      </c>
      <c r="I40" s="5">
        <v>8</v>
      </c>
      <c r="J40" s="5">
        <v>6</v>
      </c>
      <c r="K40" s="5">
        <v>7</v>
      </c>
      <c r="L40" s="5">
        <v>9</v>
      </c>
      <c r="M40" s="5">
        <v>7</v>
      </c>
      <c r="N40" s="5">
        <v>8</v>
      </c>
      <c r="O40" s="5">
        <v>9</v>
      </c>
    </row>
    <row r="41" spans="1:15" ht="21.95" customHeight="1" x14ac:dyDescent="0.25">
      <c r="A41" s="2" t="s">
        <v>34</v>
      </c>
      <c r="B41" s="3" t="s">
        <v>35</v>
      </c>
      <c r="C41" s="4" t="s">
        <v>17</v>
      </c>
      <c r="D41" s="5">
        <v>7</v>
      </c>
      <c r="E41" s="5">
        <v>8</v>
      </c>
      <c r="F41" s="5">
        <v>9</v>
      </c>
      <c r="G41" s="5">
        <v>7</v>
      </c>
      <c r="H41" s="5">
        <v>8</v>
      </c>
      <c r="I41" s="5">
        <v>9</v>
      </c>
      <c r="J41" s="5">
        <v>6</v>
      </c>
      <c r="K41" s="5">
        <v>7</v>
      </c>
      <c r="L41" s="5">
        <v>8</v>
      </c>
      <c r="M41" s="5">
        <v>6</v>
      </c>
      <c r="N41" s="5">
        <v>7</v>
      </c>
      <c r="O41" s="5">
        <v>8</v>
      </c>
    </row>
    <row r="42" spans="1:15" ht="21.95" customHeight="1" x14ac:dyDescent="0.25">
      <c r="A42" s="2" t="s">
        <v>36</v>
      </c>
      <c r="B42" s="3" t="s">
        <v>37</v>
      </c>
      <c r="C42" s="4" t="s">
        <v>17</v>
      </c>
      <c r="D42" s="5">
        <v>5</v>
      </c>
      <c r="E42" s="5">
        <v>6</v>
      </c>
      <c r="F42" s="5">
        <v>7</v>
      </c>
      <c r="G42" s="5">
        <v>5</v>
      </c>
      <c r="H42" s="5">
        <v>6</v>
      </c>
      <c r="I42" s="5">
        <v>8</v>
      </c>
      <c r="J42" s="5">
        <v>5</v>
      </c>
      <c r="K42" s="5">
        <v>6</v>
      </c>
      <c r="L42" s="5">
        <v>7</v>
      </c>
      <c r="M42" s="5">
        <v>5</v>
      </c>
      <c r="N42" s="5">
        <v>6</v>
      </c>
      <c r="O42" s="5">
        <v>7</v>
      </c>
    </row>
    <row r="43" spans="1:15" ht="21.95" customHeight="1" x14ac:dyDescent="0.25">
      <c r="A43" s="2" t="s">
        <v>38</v>
      </c>
      <c r="B43" s="3" t="s">
        <v>39</v>
      </c>
      <c r="C43" s="4" t="s">
        <v>17</v>
      </c>
      <c r="D43" s="5">
        <v>3</v>
      </c>
      <c r="E43" s="5">
        <v>4</v>
      </c>
      <c r="F43" s="5">
        <v>5</v>
      </c>
      <c r="G43" s="5">
        <v>3</v>
      </c>
      <c r="H43" s="5">
        <v>4</v>
      </c>
      <c r="I43" s="5">
        <v>6</v>
      </c>
      <c r="J43" s="5">
        <v>2</v>
      </c>
      <c r="K43" s="5">
        <v>3</v>
      </c>
      <c r="L43" s="5">
        <v>5</v>
      </c>
      <c r="M43" s="5">
        <v>3</v>
      </c>
      <c r="N43" s="5">
        <v>4</v>
      </c>
      <c r="O43" s="5">
        <v>5</v>
      </c>
    </row>
    <row r="44" spans="1:15" ht="21.95" customHeight="1" x14ac:dyDescent="0.25">
      <c r="A44" s="21" t="s">
        <v>44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</row>
    <row r="45" spans="1:15" ht="21.95" customHeight="1" x14ac:dyDescent="0.25">
      <c r="A45" s="2" t="s">
        <v>32</v>
      </c>
      <c r="B45" s="3" t="s">
        <v>33</v>
      </c>
      <c r="C45" s="4" t="s">
        <v>20</v>
      </c>
      <c r="D45" s="5">
        <v>2</v>
      </c>
      <c r="E45" s="5">
        <v>3</v>
      </c>
      <c r="F45" s="5">
        <v>4</v>
      </c>
      <c r="G45" s="5">
        <v>2</v>
      </c>
      <c r="H45" s="5">
        <v>3</v>
      </c>
      <c r="I45" s="5">
        <v>5</v>
      </c>
      <c r="J45" s="5">
        <v>3</v>
      </c>
      <c r="K45" s="5">
        <v>4</v>
      </c>
      <c r="L45" s="5">
        <v>5</v>
      </c>
      <c r="M45" s="5">
        <v>1</v>
      </c>
      <c r="N45" s="5">
        <v>2</v>
      </c>
      <c r="O45" s="5">
        <v>3</v>
      </c>
    </row>
    <row r="46" spans="1:15" ht="21.95" customHeight="1" x14ac:dyDescent="0.25">
      <c r="A46" s="2" t="s">
        <v>34</v>
      </c>
      <c r="B46" s="3" t="s">
        <v>35</v>
      </c>
      <c r="C46" s="4" t="s">
        <v>20</v>
      </c>
      <c r="D46" s="5">
        <v>5</v>
      </c>
      <c r="E46" s="5">
        <v>6</v>
      </c>
      <c r="F46" s="5">
        <v>7</v>
      </c>
      <c r="G46" s="5">
        <v>6</v>
      </c>
      <c r="H46" s="5">
        <v>7</v>
      </c>
      <c r="I46" s="5">
        <v>8</v>
      </c>
      <c r="J46" s="5">
        <v>5</v>
      </c>
      <c r="K46" s="5">
        <v>6</v>
      </c>
      <c r="L46" s="5">
        <v>8</v>
      </c>
      <c r="M46" s="5">
        <v>5</v>
      </c>
      <c r="N46" s="5">
        <v>6</v>
      </c>
      <c r="O46" s="5">
        <v>7</v>
      </c>
    </row>
    <row r="47" spans="1:15" ht="21.95" customHeight="1" x14ac:dyDescent="0.25">
      <c r="A47" s="2" t="s">
        <v>36</v>
      </c>
      <c r="B47" s="3" t="s">
        <v>37</v>
      </c>
      <c r="C47" s="4" t="s">
        <v>20</v>
      </c>
      <c r="D47" s="5">
        <v>2</v>
      </c>
      <c r="E47" s="5">
        <v>3</v>
      </c>
      <c r="F47" s="5">
        <v>4</v>
      </c>
      <c r="G47" s="5">
        <v>3</v>
      </c>
      <c r="H47" s="5">
        <v>4</v>
      </c>
      <c r="I47" s="5">
        <v>5</v>
      </c>
      <c r="J47" s="5">
        <v>2</v>
      </c>
      <c r="K47" s="5">
        <v>3</v>
      </c>
      <c r="L47" s="5">
        <v>5</v>
      </c>
      <c r="M47" s="5">
        <v>2</v>
      </c>
      <c r="N47" s="5">
        <v>3</v>
      </c>
      <c r="O47" s="5">
        <v>4</v>
      </c>
    </row>
    <row r="48" spans="1:15" ht="21.95" customHeight="1" x14ac:dyDescent="0.25">
      <c r="A48" s="2" t="s">
        <v>38</v>
      </c>
      <c r="B48" s="3" t="s">
        <v>39</v>
      </c>
      <c r="C48" s="4" t="s">
        <v>20</v>
      </c>
      <c r="D48" s="5">
        <v>6</v>
      </c>
      <c r="E48" s="5">
        <v>7</v>
      </c>
      <c r="F48" s="5">
        <v>8</v>
      </c>
      <c r="G48" s="5">
        <v>7</v>
      </c>
      <c r="H48" s="5">
        <v>8</v>
      </c>
      <c r="I48" s="5">
        <v>9</v>
      </c>
      <c r="J48" s="5">
        <v>6</v>
      </c>
      <c r="K48" s="5">
        <v>7</v>
      </c>
      <c r="L48" s="5">
        <v>9</v>
      </c>
      <c r="M48" s="5">
        <v>7</v>
      </c>
      <c r="N48" s="5">
        <v>8</v>
      </c>
      <c r="O48" s="5">
        <v>9</v>
      </c>
    </row>
    <row r="49" ht="21.95" customHeight="1" x14ac:dyDescent="0.25"/>
  </sheetData>
  <mergeCells count="24">
    <mergeCell ref="A44:O44"/>
    <mergeCell ref="A19:O19"/>
    <mergeCell ref="A24:O24"/>
    <mergeCell ref="A29:O29"/>
    <mergeCell ref="A34:O34"/>
    <mergeCell ref="A39:O39"/>
    <mergeCell ref="D17:F17"/>
    <mergeCell ref="G17:I17"/>
    <mergeCell ref="J17:L17"/>
    <mergeCell ref="M17:O17"/>
    <mergeCell ref="A17:A18"/>
    <mergeCell ref="B17:B18"/>
    <mergeCell ref="C17:C18"/>
    <mergeCell ref="A1:O1"/>
    <mergeCell ref="A2:O2"/>
    <mergeCell ref="A3:O3"/>
    <mergeCell ref="A4:O4"/>
    <mergeCell ref="D7:F7"/>
    <mergeCell ref="G7:I7"/>
    <mergeCell ref="J7:L7"/>
    <mergeCell ref="M7:O7"/>
    <mergeCell ref="A7:A8"/>
    <mergeCell ref="B7:B8"/>
    <mergeCell ref="C7:C8"/>
  </mergeCells>
  <conditionalFormatting sqref="D9:F14">
    <cfRule type="expression" dxfId="66" priority="1">
      <formula>OR($D9&gt;$E9,$E9&gt;$F9)</formula>
    </cfRule>
  </conditionalFormatting>
  <conditionalFormatting sqref="D20:F23">
    <cfRule type="expression" dxfId="65" priority="5">
      <formula>OR($D20&gt;$E20,$E20&gt;$F20)</formula>
    </cfRule>
  </conditionalFormatting>
  <conditionalFormatting sqref="D25:F28">
    <cfRule type="expression" dxfId="64" priority="9">
      <formula>OR($D25&gt;$E25,$E25&gt;$F25)</formula>
    </cfRule>
  </conditionalFormatting>
  <conditionalFormatting sqref="D30:F33">
    <cfRule type="expression" dxfId="63" priority="13">
      <formula>OR($D30&gt;$E30,$E30&gt;$F30)</formula>
    </cfRule>
  </conditionalFormatting>
  <conditionalFormatting sqref="D35:F38">
    <cfRule type="expression" dxfId="62" priority="17">
      <formula>OR($D35&gt;$E35,$E35&gt;$F35)</formula>
    </cfRule>
  </conditionalFormatting>
  <conditionalFormatting sqref="D40:F43">
    <cfRule type="expression" dxfId="61" priority="21">
      <formula>OR($D40&gt;$E40,$E40&gt;$F40)</formula>
    </cfRule>
  </conditionalFormatting>
  <conditionalFormatting sqref="D45:F48">
    <cfRule type="expression" dxfId="60" priority="25">
      <formula>OR($D45&gt;$E45,$E45&gt;$F45)</formula>
    </cfRule>
  </conditionalFormatting>
  <conditionalFormatting sqref="G9:I14">
    <cfRule type="expression" dxfId="59" priority="2">
      <formula>OR($G9&gt;$H9,$H9&gt;$I9)</formula>
    </cfRule>
  </conditionalFormatting>
  <conditionalFormatting sqref="G20:I23">
    <cfRule type="expression" dxfId="58" priority="6">
      <formula>OR($G20&gt;$H20,$H20&gt;$I20)</formula>
    </cfRule>
  </conditionalFormatting>
  <conditionalFormatting sqref="G25:I28">
    <cfRule type="expression" dxfId="57" priority="10">
      <formula>OR($G25&gt;$H25,$H25&gt;$I25)</formula>
    </cfRule>
  </conditionalFormatting>
  <conditionalFormatting sqref="G30:I33">
    <cfRule type="expression" dxfId="56" priority="14">
      <formula>OR($G30&gt;$H30,$H30&gt;$I30)</formula>
    </cfRule>
  </conditionalFormatting>
  <conditionalFormatting sqref="G35:I38">
    <cfRule type="expression" dxfId="55" priority="18">
      <formula>OR($G35&gt;$H35,$H35&gt;$I35)</formula>
    </cfRule>
  </conditionalFormatting>
  <conditionalFormatting sqref="G40:I43">
    <cfRule type="expression" dxfId="54" priority="22">
      <formula>OR($G40&gt;$H40,$H40&gt;$I40)</formula>
    </cfRule>
  </conditionalFormatting>
  <conditionalFormatting sqref="G45:I48">
    <cfRule type="expression" dxfId="53" priority="26">
      <formula>OR($G45&gt;$H45,$H45&gt;$I45)</formula>
    </cfRule>
  </conditionalFormatting>
  <conditionalFormatting sqref="J9:L14">
    <cfRule type="expression" dxfId="52" priority="3">
      <formula>OR($J9&gt;$K9,$K9&gt;$L9)</formula>
    </cfRule>
  </conditionalFormatting>
  <conditionalFormatting sqref="J20:L23">
    <cfRule type="expression" dxfId="51" priority="7">
      <formula>OR($J20&gt;$K20,$K20&gt;$L20)</formula>
    </cfRule>
  </conditionalFormatting>
  <conditionalFormatting sqref="J25:L28">
    <cfRule type="expression" dxfId="50" priority="11">
      <formula>OR($J25&gt;$K25,$K25&gt;$L25)</formula>
    </cfRule>
  </conditionalFormatting>
  <conditionalFormatting sqref="J30:L33">
    <cfRule type="expression" dxfId="49" priority="15">
      <formula>OR($J30&gt;$K30,$K30&gt;$L30)</formula>
    </cfRule>
  </conditionalFormatting>
  <conditionalFormatting sqref="J35:L38">
    <cfRule type="expression" dxfId="48" priority="19">
      <formula>OR($J35&gt;$K35,$K35&gt;$L35)</formula>
    </cfRule>
  </conditionalFormatting>
  <conditionalFormatting sqref="J40:L43">
    <cfRule type="expression" dxfId="47" priority="23">
      <formula>OR($J40&gt;$K40,$K40&gt;$L40)</formula>
    </cfRule>
  </conditionalFormatting>
  <conditionalFormatting sqref="J45:L48">
    <cfRule type="expression" dxfId="46" priority="27">
      <formula>OR($J45&gt;$K45,$K45&gt;$L45)</formula>
    </cfRule>
  </conditionalFormatting>
  <conditionalFormatting sqref="M9:O14">
    <cfRule type="expression" dxfId="45" priority="4">
      <formula>OR($M9&gt;$N9,$N9&gt;$O9)</formula>
    </cfRule>
  </conditionalFormatting>
  <conditionalFormatting sqref="M20:O23">
    <cfRule type="expression" dxfId="44" priority="8">
      <formula>OR($M20&gt;$N20,$N20&gt;$O20)</formula>
    </cfRule>
  </conditionalFormatting>
  <conditionalFormatting sqref="M25:O28">
    <cfRule type="expression" dxfId="43" priority="12">
      <formula>OR($M25&gt;$N25,$N25&gt;$O25)</formula>
    </cfRule>
  </conditionalFormatting>
  <conditionalFormatting sqref="M30:O33">
    <cfRule type="expression" dxfId="42" priority="16">
      <formula>OR($M30&gt;$N30,$N30&gt;$O30)</formula>
    </cfRule>
  </conditionalFormatting>
  <conditionalFormatting sqref="M35:O38">
    <cfRule type="expression" dxfId="41" priority="20">
      <formula>OR($M35&gt;$N35,$N35&gt;$O35)</formula>
    </cfRule>
  </conditionalFormatting>
  <conditionalFormatting sqref="M40:O43">
    <cfRule type="expression" dxfId="40" priority="24">
      <formula>OR($M40&gt;$N40,$N40&gt;$O40)</formula>
    </cfRule>
  </conditionalFormatting>
  <conditionalFormatting sqref="M45:O48">
    <cfRule type="expression" dxfId="39" priority="28">
      <formula>OR($M45&gt;$N45,$N45&gt;$O45)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8"/>
  <sheetViews>
    <sheetView workbookViewId="0"/>
  </sheetViews>
  <sheetFormatPr defaultRowHeight="15" x14ac:dyDescent="0.25"/>
  <cols>
    <col min="1" max="1" width="8" customWidth="1"/>
    <col min="2" max="2" width="54" customWidth="1"/>
    <col min="4" max="14" width="10" customWidth="1"/>
  </cols>
  <sheetData>
    <row r="1" spans="1:14" ht="26.1" customHeight="1" x14ac:dyDescent="0.25">
      <c r="A1" s="22" t="s">
        <v>45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21.95" customHeight="1" x14ac:dyDescent="0.25">
      <c r="A2" s="23" t="s">
        <v>46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21.95" customHeight="1" x14ac:dyDescent="0.25">
      <c r="A3" s="23" t="s">
        <v>47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21.95" customHeight="1" x14ac:dyDescent="0.25">
      <c r="A4" s="23" t="s">
        <v>48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 ht="21.95" customHeight="1" x14ac:dyDescent="0.25">
      <c r="A5" s="23" t="s">
        <v>49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1:14" ht="21.95" customHeight="1" x14ac:dyDescent="0.25"/>
    <row r="7" spans="1:14" ht="21.95" customHeight="1" x14ac:dyDescent="0.25">
      <c r="A7" s="1" t="s">
        <v>50</v>
      </c>
    </row>
    <row r="8" spans="1:14" ht="21.95" customHeight="1" x14ac:dyDescent="0.25">
      <c r="A8" s="20" t="s">
        <v>5</v>
      </c>
      <c r="B8" s="20" t="s">
        <v>6</v>
      </c>
      <c r="C8" s="20" t="s">
        <v>7</v>
      </c>
      <c r="D8" s="20" t="s">
        <v>51</v>
      </c>
      <c r="E8" s="20"/>
      <c r="F8" s="20"/>
      <c r="G8" s="20" t="s">
        <v>52</v>
      </c>
      <c r="H8" s="20"/>
      <c r="I8" s="20"/>
    </row>
    <row r="9" spans="1:14" ht="21.95" customHeight="1" x14ac:dyDescent="0.25">
      <c r="A9" s="20"/>
      <c r="B9" s="20"/>
      <c r="C9" s="20"/>
      <c r="D9" s="2" t="s">
        <v>53</v>
      </c>
      <c r="E9" s="2" t="s">
        <v>54</v>
      </c>
      <c r="F9" s="2" t="s">
        <v>55</v>
      </c>
      <c r="G9" s="2" t="s">
        <v>56</v>
      </c>
      <c r="H9" s="2" t="s">
        <v>57</v>
      </c>
      <c r="I9" s="2" t="s">
        <v>58</v>
      </c>
    </row>
    <row r="10" spans="1:14" ht="21.95" customHeight="1" x14ac:dyDescent="0.25">
      <c r="A10" s="2" t="s">
        <v>15</v>
      </c>
      <c r="B10" s="3" t="s">
        <v>16</v>
      </c>
      <c r="C10" s="4" t="s">
        <v>17</v>
      </c>
      <c r="D10" s="6">
        <f>MIN(Оценки!D9,Оценки!G9,Оценки!J9,Оценки!M9)</f>
        <v>6</v>
      </c>
      <c r="E10" s="7">
        <f>AVERAGE(Оценки!E9,Оценки!H9,Оценки!K9,Оценки!N9)</f>
        <v>7.75</v>
      </c>
      <c r="F10" s="6">
        <f>MAX(Оценки!F9,Оценки!I9,Оценки!L9,Оценки!O9)</f>
        <v>10</v>
      </c>
      <c r="G10" s="8">
        <f t="shared" ref="G10:I15" si="0">D10/10</f>
        <v>0.6</v>
      </c>
      <c r="H10" s="8">
        <f t="shared" si="0"/>
        <v>0.77500000000000002</v>
      </c>
      <c r="I10" s="8">
        <f t="shared" si="0"/>
        <v>1</v>
      </c>
    </row>
    <row r="11" spans="1:14" ht="21.95" customHeight="1" x14ac:dyDescent="0.25">
      <c r="A11" s="2" t="s">
        <v>18</v>
      </c>
      <c r="B11" s="3" t="s">
        <v>19</v>
      </c>
      <c r="C11" s="4" t="s">
        <v>20</v>
      </c>
      <c r="D11" s="6">
        <f>MIN(Оценки!D10,Оценки!G10,Оценки!J10,Оценки!M10)</f>
        <v>5</v>
      </c>
      <c r="E11" s="7">
        <f>AVERAGE(Оценки!E10,Оценки!H10,Оценки!K10,Оценки!N10)</f>
        <v>7</v>
      </c>
      <c r="F11" s="6">
        <f>MAX(Оценки!F10,Оценки!I10,Оценки!L10,Оценки!O10)</f>
        <v>9</v>
      </c>
      <c r="G11" s="8">
        <f t="shared" si="0"/>
        <v>0.5</v>
      </c>
      <c r="H11" s="8">
        <f t="shared" si="0"/>
        <v>0.7</v>
      </c>
      <c r="I11" s="8">
        <f t="shared" si="0"/>
        <v>0.9</v>
      </c>
    </row>
    <row r="12" spans="1:14" ht="21.95" customHeight="1" x14ac:dyDescent="0.25">
      <c r="A12" s="2" t="s">
        <v>21</v>
      </c>
      <c r="B12" s="3" t="s">
        <v>22</v>
      </c>
      <c r="C12" s="4" t="s">
        <v>17</v>
      </c>
      <c r="D12" s="6">
        <f>MIN(Оценки!D11,Оценки!G11,Оценки!J11,Оценки!M11)</f>
        <v>4</v>
      </c>
      <c r="E12" s="7">
        <f>AVERAGE(Оценки!E11,Оценки!H11,Оценки!K11,Оценки!N11)</f>
        <v>6.5</v>
      </c>
      <c r="F12" s="6">
        <f>MAX(Оценки!F11,Оценки!I11,Оценки!L11,Оценки!O11)</f>
        <v>9</v>
      </c>
      <c r="G12" s="8">
        <f t="shared" si="0"/>
        <v>0.4</v>
      </c>
      <c r="H12" s="8">
        <f t="shared" si="0"/>
        <v>0.65</v>
      </c>
      <c r="I12" s="8">
        <f t="shared" si="0"/>
        <v>0.9</v>
      </c>
    </row>
    <row r="13" spans="1:14" ht="21.95" customHeight="1" x14ac:dyDescent="0.25">
      <c r="A13" s="2" t="s">
        <v>23</v>
      </c>
      <c r="B13" s="3" t="s">
        <v>24</v>
      </c>
      <c r="C13" s="4" t="s">
        <v>17</v>
      </c>
      <c r="D13" s="6">
        <f>MIN(Оценки!D12,Оценки!G12,Оценки!J12,Оценки!M12)</f>
        <v>3</v>
      </c>
      <c r="E13" s="7">
        <f>AVERAGE(Оценки!E12,Оценки!H12,Оценки!K12,Оценки!N12)</f>
        <v>5.25</v>
      </c>
      <c r="F13" s="6">
        <f>MAX(Оценки!F12,Оценки!I12,Оценки!L12,Оценки!O12)</f>
        <v>7</v>
      </c>
      <c r="G13" s="8">
        <f t="shared" si="0"/>
        <v>0.3</v>
      </c>
      <c r="H13" s="8">
        <f t="shared" si="0"/>
        <v>0.52500000000000002</v>
      </c>
      <c r="I13" s="8">
        <f t="shared" si="0"/>
        <v>0.7</v>
      </c>
    </row>
    <row r="14" spans="1:14" ht="21.95" customHeight="1" x14ac:dyDescent="0.25">
      <c r="A14" s="2" t="s">
        <v>25</v>
      </c>
      <c r="B14" s="3" t="s">
        <v>26</v>
      </c>
      <c r="C14" s="4" t="s">
        <v>17</v>
      </c>
      <c r="D14" s="6">
        <f>MIN(Оценки!D13,Оценки!G13,Оценки!J13,Оценки!M13)</f>
        <v>5</v>
      </c>
      <c r="E14" s="7">
        <f>AVERAGE(Оценки!E13,Оценки!H13,Оценки!K13,Оценки!N13)</f>
        <v>7</v>
      </c>
      <c r="F14" s="6">
        <f>MAX(Оценки!F13,Оценки!I13,Оценки!L13,Оценки!O13)</f>
        <v>9</v>
      </c>
      <c r="G14" s="8">
        <f t="shared" si="0"/>
        <v>0.5</v>
      </c>
      <c r="H14" s="8">
        <f t="shared" si="0"/>
        <v>0.7</v>
      </c>
      <c r="I14" s="8">
        <f t="shared" si="0"/>
        <v>0.9</v>
      </c>
    </row>
    <row r="15" spans="1:14" ht="21.95" customHeight="1" x14ac:dyDescent="0.25">
      <c r="A15" s="2" t="s">
        <v>27</v>
      </c>
      <c r="B15" s="3" t="s">
        <v>28</v>
      </c>
      <c r="C15" s="4" t="s">
        <v>20</v>
      </c>
      <c r="D15" s="6">
        <f>MIN(Оценки!D14,Оценки!G14,Оценки!J14,Оценки!M14)</f>
        <v>4</v>
      </c>
      <c r="E15" s="7">
        <f>AVERAGE(Оценки!E14,Оценки!H14,Оценки!K14,Оценки!N14)</f>
        <v>6.5</v>
      </c>
      <c r="F15" s="6">
        <f>MAX(Оценки!F14,Оценки!I14,Оценки!L14,Оценки!O14)</f>
        <v>9</v>
      </c>
      <c r="G15" s="8">
        <f t="shared" si="0"/>
        <v>0.4</v>
      </c>
      <c r="H15" s="8">
        <f t="shared" si="0"/>
        <v>0.65</v>
      </c>
      <c r="I15" s="8">
        <f t="shared" si="0"/>
        <v>0.9</v>
      </c>
    </row>
    <row r="16" spans="1:14" ht="21.95" customHeight="1" x14ac:dyDescent="0.25"/>
    <row r="17" spans="1:14" ht="21.95" customHeight="1" x14ac:dyDescent="0.25">
      <c r="A17" s="1" t="s">
        <v>59</v>
      </c>
    </row>
    <row r="18" spans="1:14" ht="21.95" customHeight="1" x14ac:dyDescent="0.25">
      <c r="A18" s="20" t="s">
        <v>5</v>
      </c>
      <c r="B18" s="20" t="s">
        <v>30</v>
      </c>
      <c r="C18" s="20" t="s">
        <v>7</v>
      </c>
      <c r="D18" s="20" t="s">
        <v>51</v>
      </c>
      <c r="E18" s="20"/>
      <c r="F18" s="20"/>
      <c r="G18" s="20" t="s">
        <v>60</v>
      </c>
      <c r="H18" s="20"/>
      <c r="I18" s="20"/>
      <c r="J18" s="20" t="s">
        <v>61</v>
      </c>
      <c r="K18" s="20"/>
      <c r="L18" s="20"/>
      <c r="M18" s="20" t="s">
        <v>62</v>
      </c>
      <c r="N18" s="20" t="s">
        <v>63</v>
      </c>
    </row>
    <row r="19" spans="1:14" ht="21.95" customHeight="1" x14ac:dyDescent="0.25">
      <c r="A19" s="20"/>
      <c r="B19" s="20"/>
      <c r="C19" s="20"/>
      <c r="D19" s="2" t="s">
        <v>53</v>
      </c>
      <c r="E19" s="2" t="s">
        <v>54</v>
      </c>
      <c r="F19" s="2" t="s">
        <v>55</v>
      </c>
      <c r="G19" s="2" t="s">
        <v>53</v>
      </c>
      <c r="H19" s="2" t="s">
        <v>54</v>
      </c>
      <c r="I19" s="2" t="s">
        <v>55</v>
      </c>
      <c r="J19" s="2" t="s">
        <v>53</v>
      </c>
      <c r="K19" s="2" t="s">
        <v>54</v>
      </c>
      <c r="L19" s="2" t="s">
        <v>55</v>
      </c>
      <c r="M19" s="20"/>
      <c r="N19" s="20"/>
    </row>
    <row r="20" spans="1:14" ht="21.95" customHeight="1" x14ac:dyDescent="0.25">
      <c r="A20" s="21" t="s">
        <v>31</v>
      </c>
      <c r="B20" s="21"/>
      <c r="C20" s="21"/>
      <c r="D20" s="21"/>
      <c r="E20" s="21"/>
      <c r="F20" s="21"/>
      <c r="G20" s="2" t="s">
        <v>64</v>
      </c>
      <c r="H20" s="9">
        <f>MAX(F21:F24)</f>
        <v>10</v>
      </c>
      <c r="I20" s="10" t="s">
        <v>65</v>
      </c>
      <c r="J20" s="10" t="s">
        <v>65</v>
      </c>
      <c r="K20" s="10" t="s">
        <v>65</v>
      </c>
      <c r="L20" s="10" t="s">
        <v>65</v>
      </c>
      <c r="M20" s="10" t="s">
        <v>65</v>
      </c>
      <c r="N20" s="10" t="s">
        <v>65</v>
      </c>
    </row>
    <row r="21" spans="1:14" ht="21.95" customHeight="1" x14ac:dyDescent="0.25">
      <c r="A21" s="2" t="s">
        <v>32</v>
      </c>
      <c r="B21" s="3" t="s">
        <v>33</v>
      </c>
      <c r="C21" s="4" t="s">
        <v>17</v>
      </c>
      <c r="D21" s="6">
        <f>MIN(Оценки!D20,Оценки!G20,Оценки!J20,Оценки!M20)</f>
        <v>6</v>
      </c>
      <c r="E21" s="7">
        <f>AVERAGE(Оценки!E20,Оценки!H20,Оценки!K20,Оценки!N20)</f>
        <v>8</v>
      </c>
      <c r="F21" s="6">
        <f>MAX(Оценки!F20,Оценки!I20,Оценки!L20,Оценки!O20)</f>
        <v>10</v>
      </c>
      <c r="G21" s="8">
        <f t="shared" ref="G21:I24" si="1">D21/$H$20</f>
        <v>0.6</v>
      </c>
      <c r="H21" s="8">
        <f t="shared" si="1"/>
        <v>0.8</v>
      </c>
      <c r="I21" s="8">
        <f t="shared" si="1"/>
        <v>1</v>
      </c>
      <c r="J21" s="8">
        <f>G21*$G$10</f>
        <v>0.36</v>
      </c>
      <c r="K21" s="8">
        <f>H21*$H$10</f>
        <v>0.62000000000000011</v>
      </c>
      <c r="L21" s="8">
        <f>I21*$I$10</f>
        <v>1</v>
      </c>
      <c r="M21" s="8">
        <f>SQRT(((1-J21)^2+(1-K21)^2+(1-L21)^2)/3)</f>
        <v>0.42972859651955519</v>
      </c>
      <c r="N21" s="8">
        <f>SQRT((J21^2+K21^2+L21^2)/3)</f>
        <v>0.71039894894817146</v>
      </c>
    </row>
    <row r="22" spans="1:14" ht="21.95" customHeight="1" x14ac:dyDescent="0.25">
      <c r="A22" s="2" t="s">
        <v>34</v>
      </c>
      <c r="B22" s="3" t="s">
        <v>35</v>
      </c>
      <c r="C22" s="4" t="s">
        <v>17</v>
      </c>
      <c r="D22" s="6">
        <f>MIN(Оценки!D21,Оценки!G21,Оценки!J21,Оценки!M21)</f>
        <v>6</v>
      </c>
      <c r="E22" s="7">
        <f>AVERAGE(Оценки!E21,Оценки!H21,Оценки!K21,Оценки!N21)</f>
        <v>7.75</v>
      </c>
      <c r="F22" s="6">
        <f>MAX(Оценки!F21,Оценки!I21,Оценки!L21,Оценки!O21)</f>
        <v>9</v>
      </c>
      <c r="G22" s="8">
        <f t="shared" si="1"/>
        <v>0.6</v>
      </c>
      <c r="H22" s="8">
        <f t="shared" si="1"/>
        <v>0.77500000000000002</v>
      </c>
      <c r="I22" s="8">
        <f t="shared" si="1"/>
        <v>0.9</v>
      </c>
      <c r="J22" s="8">
        <f>G22*$G$10</f>
        <v>0.36</v>
      </c>
      <c r="K22" s="8">
        <f>H22*$H$10</f>
        <v>0.60062500000000008</v>
      </c>
      <c r="L22" s="8">
        <f>I22*$I$10</f>
        <v>0.9</v>
      </c>
      <c r="M22" s="8">
        <f>SQRT(((1-J22)^2+(1-K22)^2+(1-L22)^2)/3)</f>
        <v>0.43935573689399648</v>
      </c>
      <c r="N22" s="8">
        <f>SQRT((J22^2+K22^2+L22^2)/3)</f>
        <v>0.65836929622236595</v>
      </c>
    </row>
    <row r="23" spans="1:14" ht="21.95" customHeight="1" x14ac:dyDescent="0.25">
      <c r="A23" s="2" t="s">
        <v>36</v>
      </c>
      <c r="B23" s="3" t="s">
        <v>37</v>
      </c>
      <c r="C23" s="4" t="s">
        <v>17</v>
      </c>
      <c r="D23" s="6">
        <f>MIN(Оценки!D22,Оценки!G22,Оценки!J22,Оценки!M22)</f>
        <v>5</v>
      </c>
      <c r="E23" s="7">
        <f>AVERAGE(Оценки!E22,Оценки!H22,Оценки!K22,Оценки!N22)</f>
        <v>6.75</v>
      </c>
      <c r="F23" s="6">
        <f>MAX(Оценки!F22,Оценки!I22,Оценки!L22,Оценки!O22)</f>
        <v>8</v>
      </c>
      <c r="G23" s="8">
        <f t="shared" si="1"/>
        <v>0.5</v>
      </c>
      <c r="H23" s="8">
        <f t="shared" si="1"/>
        <v>0.67500000000000004</v>
      </c>
      <c r="I23" s="8">
        <f t="shared" si="1"/>
        <v>0.8</v>
      </c>
      <c r="J23" s="8">
        <f>G23*$G$10</f>
        <v>0.3</v>
      </c>
      <c r="K23" s="8">
        <f>H23*$H$10</f>
        <v>0.52312500000000006</v>
      </c>
      <c r="L23" s="8">
        <f>I23*$I$10</f>
        <v>0.8</v>
      </c>
      <c r="M23" s="8">
        <f>SQRT(((1-J23)^2+(1-K23)^2+(1-L23)^2)/3)</f>
        <v>0.50246385131171367</v>
      </c>
      <c r="N23" s="8">
        <f>SQRT((J23^2+K23^2+L23^2)/3)</f>
        <v>0.57840578766842698</v>
      </c>
    </row>
    <row r="24" spans="1:14" ht="21.95" customHeight="1" x14ac:dyDescent="0.25">
      <c r="A24" s="2" t="s">
        <v>38</v>
      </c>
      <c r="B24" s="3" t="s">
        <v>39</v>
      </c>
      <c r="C24" s="4" t="s">
        <v>17</v>
      </c>
      <c r="D24" s="6">
        <f>MIN(Оценки!D23,Оценки!G23,Оценки!J23,Оценки!M23)</f>
        <v>4</v>
      </c>
      <c r="E24" s="7">
        <f>AVERAGE(Оценки!E23,Оценки!H23,Оценки!K23,Оценки!N23)</f>
        <v>6</v>
      </c>
      <c r="F24" s="6">
        <f>MAX(Оценки!F23,Оценки!I23,Оценки!L23,Оценки!O23)</f>
        <v>8</v>
      </c>
      <c r="G24" s="8">
        <f t="shared" si="1"/>
        <v>0.4</v>
      </c>
      <c r="H24" s="8">
        <f t="shared" si="1"/>
        <v>0.6</v>
      </c>
      <c r="I24" s="8">
        <f t="shared" si="1"/>
        <v>0.8</v>
      </c>
      <c r="J24" s="8">
        <f>G24*$G$10</f>
        <v>0.24</v>
      </c>
      <c r="K24" s="8">
        <f>H24*$H$10</f>
        <v>0.46499999999999997</v>
      </c>
      <c r="L24" s="8">
        <f>I24*$I$10</f>
        <v>0.8</v>
      </c>
      <c r="M24" s="8">
        <f>SQRT(((1-J24)^2+(1-K24)^2+(1-L24)^2)/3)</f>
        <v>0.54888523390595967</v>
      </c>
      <c r="N24" s="8">
        <f>SQRT((J24^2+K24^2+L24^2)/3)</f>
        <v>0.55191333860791347</v>
      </c>
    </row>
    <row r="25" spans="1:14" ht="21.95" customHeight="1" x14ac:dyDescent="0.25">
      <c r="A25" s="21" t="s">
        <v>40</v>
      </c>
      <c r="B25" s="21"/>
      <c r="C25" s="21"/>
      <c r="D25" s="21"/>
      <c r="E25" s="21"/>
      <c r="F25" s="21"/>
      <c r="G25" s="2" t="s">
        <v>66</v>
      </c>
      <c r="H25" s="9">
        <f>MIN(D26:D29)</f>
        <v>4</v>
      </c>
      <c r="I25" s="10" t="s">
        <v>65</v>
      </c>
      <c r="J25" s="10" t="s">
        <v>65</v>
      </c>
      <c r="K25" s="10" t="s">
        <v>65</v>
      </c>
      <c r="L25" s="10" t="s">
        <v>65</v>
      </c>
      <c r="M25" s="10" t="s">
        <v>65</v>
      </c>
      <c r="N25" s="10" t="s">
        <v>65</v>
      </c>
    </row>
    <row r="26" spans="1:14" ht="21.95" customHeight="1" x14ac:dyDescent="0.25">
      <c r="A26" s="2" t="s">
        <v>32</v>
      </c>
      <c r="B26" s="3" t="s">
        <v>33</v>
      </c>
      <c r="C26" s="4" t="s">
        <v>20</v>
      </c>
      <c r="D26" s="6">
        <f>MIN(Оценки!D25,Оценки!G25,Оценки!J25,Оценки!M25)</f>
        <v>5</v>
      </c>
      <c r="E26" s="7">
        <f>AVERAGE(Оценки!E25,Оценки!H25,Оценки!K25,Оценки!N25)</f>
        <v>7</v>
      </c>
      <c r="F26" s="6">
        <f>MAX(Оценки!F25,Оценки!I25,Оценки!L25,Оценки!O25)</f>
        <v>9</v>
      </c>
      <c r="G26" s="8">
        <f>$H$25/F26</f>
        <v>0.44444444444444442</v>
      </c>
      <c r="H26" s="8">
        <f>$H$25/E26</f>
        <v>0.5714285714285714</v>
      </c>
      <c r="I26" s="8">
        <f>$H$25/D26</f>
        <v>0.8</v>
      </c>
      <c r="J26" s="8">
        <f>G26*$G$11</f>
        <v>0.22222222222222221</v>
      </c>
      <c r="K26" s="8">
        <f>H26*$H$11</f>
        <v>0.39999999999999997</v>
      </c>
      <c r="L26" s="8">
        <f>I26*$I$11</f>
        <v>0.72000000000000008</v>
      </c>
      <c r="M26" s="8">
        <f>SQRT(((1-J26)^2+(1-K26)^2+(1-L26)^2)/3)</f>
        <v>0.5897282627348911</v>
      </c>
      <c r="N26" s="8">
        <f>SQRT((J26^2+K26^2+L26^2)/3)</f>
        <v>0.49253856568103133</v>
      </c>
    </row>
    <row r="27" spans="1:14" ht="21.95" customHeight="1" x14ac:dyDescent="0.25">
      <c r="A27" s="2" t="s">
        <v>34</v>
      </c>
      <c r="B27" s="3" t="s">
        <v>35</v>
      </c>
      <c r="C27" s="4" t="s">
        <v>20</v>
      </c>
      <c r="D27" s="6">
        <f>MIN(Оценки!D26,Оценки!G26,Оценки!J26,Оценки!M26)</f>
        <v>4</v>
      </c>
      <c r="E27" s="7">
        <f>AVERAGE(Оценки!E26,Оценки!H26,Оценки!K26,Оценки!N26)</f>
        <v>5.25</v>
      </c>
      <c r="F27" s="6">
        <f>MAX(Оценки!F26,Оценки!I26,Оценки!L26,Оценки!O26)</f>
        <v>7</v>
      </c>
      <c r="G27" s="8">
        <f>$H$25/F27</f>
        <v>0.5714285714285714</v>
      </c>
      <c r="H27" s="8">
        <f>$H$25/E27</f>
        <v>0.76190476190476186</v>
      </c>
      <c r="I27" s="8">
        <f>$H$25/D27</f>
        <v>1</v>
      </c>
      <c r="J27" s="8">
        <f>G27*$G$11</f>
        <v>0.2857142857142857</v>
      </c>
      <c r="K27" s="8">
        <f>H27*$H$11</f>
        <v>0.53333333333333321</v>
      </c>
      <c r="L27" s="8">
        <f>I27*$I$11</f>
        <v>0.9</v>
      </c>
      <c r="M27" s="8">
        <f>SQRT(((1-J27)^2+(1-K27)^2+(1-L27)^2)/3)</f>
        <v>0.49597777484158534</v>
      </c>
      <c r="N27" s="8">
        <f>SQRT((J27^2+K27^2+L27^2)/3)</f>
        <v>0.62611955660924401</v>
      </c>
    </row>
    <row r="28" spans="1:14" ht="21.95" customHeight="1" x14ac:dyDescent="0.25">
      <c r="A28" s="2" t="s">
        <v>36</v>
      </c>
      <c r="B28" s="3" t="s">
        <v>37</v>
      </c>
      <c r="C28" s="4" t="s">
        <v>20</v>
      </c>
      <c r="D28" s="6">
        <f>MIN(Оценки!D27,Оценки!G27,Оценки!J27,Оценки!M27)</f>
        <v>4</v>
      </c>
      <c r="E28" s="7">
        <f>AVERAGE(Оценки!E27,Оценки!H27,Оценки!K27,Оценки!N27)</f>
        <v>5.5</v>
      </c>
      <c r="F28" s="6">
        <f>MAX(Оценки!F27,Оценки!I27,Оценки!L27,Оценки!O27)</f>
        <v>7</v>
      </c>
      <c r="G28" s="8">
        <f>$H$25/F28</f>
        <v>0.5714285714285714</v>
      </c>
      <c r="H28" s="8">
        <f>$H$25/E28</f>
        <v>0.72727272727272729</v>
      </c>
      <c r="I28" s="8">
        <f>$H$25/D28</f>
        <v>1</v>
      </c>
      <c r="J28" s="8">
        <f>G28*$G$11</f>
        <v>0.2857142857142857</v>
      </c>
      <c r="K28" s="8">
        <f>H28*$H$11</f>
        <v>0.50909090909090904</v>
      </c>
      <c r="L28" s="8">
        <f>I28*$I$11</f>
        <v>0.9</v>
      </c>
      <c r="M28" s="8">
        <f>SQRT(((1-J28)^2+(1-K28)^2+(1-L28)^2)/3)</f>
        <v>0.50371811467984196</v>
      </c>
      <c r="N28" s="8">
        <f>SQRT((J28^2+K28^2+L28^2)/3)</f>
        <v>0.61935617291405454</v>
      </c>
    </row>
    <row r="29" spans="1:14" ht="21.95" customHeight="1" x14ac:dyDescent="0.25">
      <c r="A29" s="2" t="s">
        <v>38</v>
      </c>
      <c r="B29" s="3" t="s">
        <v>39</v>
      </c>
      <c r="C29" s="4" t="s">
        <v>20</v>
      </c>
      <c r="D29" s="6">
        <f>MIN(Оценки!D28,Оценки!G28,Оценки!J28,Оценки!M28)</f>
        <v>4</v>
      </c>
      <c r="E29" s="7">
        <f>AVERAGE(Оценки!E28,Оценки!H28,Оценки!K28,Оценки!N28)</f>
        <v>5.75</v>
      </c>
      <c r="F29" s="6">
        <f>MAX(Оценки!F28,Оценки!I28,Оценки!L28,Оценки!O28)</f>
        <v>8</v>
      </c>
      <c r="G29" s="8">
        <f>$H$25/F29</f>
        <v>0.5</v>
      </c>
      <c r="H29" s="8">
        <f>$H$25/E29</f>
        <v>0.69565217391304346</v>
      </c>
      <c r="I29" s="8">
        <f>$H$25/D29</f>
        <v>1</v>
      </c>
      <c r="J29" s="8">
        <f>G29*$G$11</f>
        <v>0.25</v>
      </c>
      <c r="K29" s="8">
        <f>H29*$H$11</f>
        <v>0.4869565217391304</v>
      </c>
      <c r="L29" s="8">
        <f>I29*$I$11</f>
        <v>0.9</v>
      </c>
      <c r="M29" s="8">
        <f>SQRT(((1-J29)^2+(1-K29)^2+(1-L29)^2)/3)</f>
        <v>0.52779844972173851</v>
      </c>
      <c r="N29" s="8">
        <f>SQRT((J29^2+K29^2+L29^2)/3)</f>
        <v>0.60817394827035909</v>
      </c>
    </row>
    <row r="30" spans="1:14" ht="21.95" customHeight="1" x14ac:dyDescent="0.25">
      <c r="A30" s="21" t="s">
        <v>41</v>
      </c>
      <c r="B30" s="21"/>
      <c r="C30" s="21"/>
      <c r="D30" s="21"/>
      <c r="E30" s="21"/>
      <c r="F30" s="21"/>
      <c r="G30" s="2" t="s">
        <v>64</v>
      </c>
      <c r="H30" s="9">
        <f>MAX(F31:F34)</f>
        <v>10</v>
      </c>
      <c r="I30" s="10" t="s">
        <v>65</v>
      </c>
      <c r="J30" s="10" t="s">
        <v>65</v>
      </c>
      <c r="K30" s="10" t="s">
        <v>65</v>
      </c>
      <c r="L30" s="10" t="s">
        <v>65</v>
      </c>
      <c r="M30" s="10" t="s">
        <v>65</v>
      </c>
      <c r="N30" s="10" t="s">
        <v>65</v>
      </c>
    </row>
    <row r="31" spans="1:14" ht="21.95" customHeight="1" x14ac:dyDescent="0.25">
      <c r="A31" s="2" t="s">
        <v>32</v>
      </c>
      <c r="B31" s="3" t="s">
        <v>33</v>
      </c>
      <c r="C31" s="4" t="s">
        <v>17</v>
      </c>
      <c r="D31" s="6">
        <f>MIN(Оценки!D30,Оценки!G30,Оценки!J30,Оценки!M30)</f>
        <v>5</v>
      </c>
      <c r="E31" s="7">
        <f>AVERAGE(Оценки!E30,Оценки!H30,Оценки!K30,Оценки!N30)</f>
        <v>7</v>
      </c>
      <c r="F31" s="6">
        <f>MAX(Оценки!F30,Оценки!I30,Оценки!L30,Оценки!O30)</f>
        <v>10</v>
      </c>
      <c r="G31" s="8">
        <f t="shared" ref="G31:I34" si="2">D31/$H$30</f>
        <v>0.5</v>
      </c>
      <c r="H31" s="8">
        <f t="shared" si="2"/>
        <v>0.7</v>
      </c>
      <c r="I31" s="8">
        <f t="shared" si="2"/>
        <v>1</v>
      </c>
      <c r="J31" s="8">
        <f>G31*$G$12</f>
        <v>0.2</v>
      </c>
      <c r="K31" s="8">
        <f>H31*$H$12</f>
        <v>0.45499999999999996</v>
      </c>
      <c r="L31" s="8">
        <f>I31*$I$12</f>
        <v>0.9</v>
      </c>
      <c r="M31" s="8">
        <f>SQRT(((1-J31)^2+(1-K31)^2+(1-L31)^2)/3)</f>
        <v>0.5618496240098414</v>
      </c>
      <c r="N31" s="8">
        <f>SQRT((J31^2+K31^2+L31^2)/3)</f>
        <v>0.59358374865444785</v>
      </c>
    </row>
    <row r="32" spans="1:14" ht="21.95" customHeight="1" x14ac:dyDescent="0.25">
      <c r="A32" s="2" t="s">
        <v>34</v>
      </c>
      <c r="B32" s="3" t="s">
        <v>35</v>
      </c>
      <c r="C32" s="4" t="s">
        <v>17</v>
      </c>
      <c r="D32" s="6">
        <f>MIN(Оценки!D31,Оценки!G31,Оценки!J31,Оценки!M31)</f>
        <v>6</v>
      </c>
      <c r="E32" s="7">
        <f>AVERAGE(Оценки!E31,Оценки!H31,Оценки!K31,Оценки!N31)</f>
        <v>7.25</v>
      </c>
      <c r="F32" s="6">
        <f>MAX(Оценки!F31,Оценки!I31,Оценки!L31,Оценки!O31)</f>
        <v>9</v>
      </c>
      <c r="G32" s="8">
        <f t="shared" si="2"/>
        <v>0.6</v>
      </c>
      <c r="H32" s="8">
        <f t="shared" si="2"/>
        <v>0.72499999999999998</v>
      </c>
      <c r="I32" s="8">
        <f t="shared" si="2"/>
        <v>0.9</v>
      </c>
      <c r="J32" s="8">
        <f>G32*$G$12</f>
        <v>0.24</v>
      </c>
      <c r="K32" s="8">
        <f>H32*$H$12</f>
        <v>0.47125</v>
      </c>
      <c r="L32" s="8">
        <f>I32*$I$12</f>
        <v>0.81</v>
      </c>
      <c r="M32" s="8">
        <f>SQRT(((1-J32)^2+(1-K32)^2+(1-L32)^2)/3)</f>
        <v>0.54567284536310467</v>
      </c>
      <c r="N32" s="8">
        <f>SQRT((J32^2+K32^2+L32^2)/3)</f>
        <v>0.55850292822270264</v>
      </c>
    </row>
    <row r="33" spans="1:14" ht="21.95" customHeight="1" x14ac:dyDescent="0.25">
      <c r="A33" s="2" t="s">
        <v>36</v>
      </c>
      <c r="B33" s="3" t="s">
        <v>37</v>
      </c>
      <c r="C33" s="4" t="s">
        <v>17</v>
      </c>
      <c r="D33" s="6">
        <f>MIN(Оценки!D32,Оценки!G32,Оценки!J32,Оценки!M32)</f>
        <v>4</v>
      </c>
      <c r="E33" s="7">
        <f>AVERAGE(Оценки!E32,Оценки!H32,Оценки!K32,Оценки!N32)</f>
        <v>5.5</v>
      </c>
      <c r="F33" s="6">
        <f>MAX(Оценки!F32,Оценки!I32,Оценки!L32,Оценки!O32)</f>
        <v>7</v>
      </c>
      <c r="G33" s="8">
        <f t="shared" si="2"/>
        <v>0.4</v>
      </c>
      <c r="H33" s="8">
        <f t="shared" si="2"/>
        <v>0.55000000000000004</v>
      </c>
      <c r="I33" s="8">
        <f t="shared" si="2"/>
        <v>0.7</v>
      </c>
      <c r="J33" s="8">
        <f>G33*$G$12</f>
        <v>0.16000000000000003</v>
      </c>
      <c r="K33" s="8">
        <f>H33*$H$12</f>
        <v>0.35750000000000004</v>
      </c>
      <c r="L33" s="8">
        <f>I33*$I$12</f>
        <v>0.63</v>
      </c>
      <c r="M33" s="8">
        <f>SQRT(((1-J33)^2+(1-K33)^2+(1-L33)^2)/3)</f>
        <v>0.64686584132002722</v>
      </c>
      <c r="N33" s="8">
        <f>SQRT((J33^2+K33^2+L33^2)/3)</f>
        <v>0.42829361035003394</v>
      </c>
    </row>
    <row r="34" spans="1:14" ht="21.95" customHeight="1" x14ac:dyDescent="0.25">
      <c r="A34" s="2" t="s">
        <v>38</v>
      </c>
      <c r="B34" s="3" t="s">
        <v>39</v>
      </c>
      <c r="C34" s="4" t="s">
        <v>17</v>
      </c>
      <c r="D34" s="6">
        <f>MIN(Оценки!D33,Оценки!G33,Оценки!J33,Оценки!M33)</f>
        <v>5</v>
      </c>
      <c r="E34" s="7">
        <f>AVERAGE(Оценки!E33,Оценки!H33,Оценки!K33,Оценки!N33)</f>
        <v>6.5</v>
      </c>
      <c r="F34" s="6">
        <f>MAX(Оценки!F33,Оценки!I33,Оценки!L33,Оценки!O33)</f>
        <v>8</v>
      </c>
      <c r="G34" s="8">
        <f t="shared" si="2"/>
        <v>0.5</v>
      </c>
      <c r="H34" s="8">
        <f t="shared" si="2"/>
        <v>0.65</v>
      </c>
      <c r="I34" s="8">
        <f t="shared" si="2"/>
        <v>0.8</v>
      </c>
      <c r="J34" s="8">
        <f>G34*$G$12</f>
        <v>0.2</v>
      </c>
      <c r="K34" s="8">
        <f>H34*$H$12</f>
        <v>0.42250000000000004</v>
      </c>
      <c r="L34" s="8">
        <f>I34*$I$12</f>
        <v>0.72000000000000008</v>
      </c>
      <c r="M34" s="8">
        <f>SQRT(((1-J34)^2+(1-K34)^2+(1-L34)^2)/3)</f>
        <v>0.59214475989125048</v>
      </c>
      <c r="N34" s="8">
        <f>SQRT((J34^2+K34^2+L34^2)/3)</f>
        <v>0.49561619895506509</v>
      </c>
    </row>
    <row r="35" spans="1:14" ht="21.95" customHeight="1" x14ac:dyDescent="0.25">
      <c r="A35" s="21" t="s">
        <v>42</v>
      </c>
      <c r="B35" s="21"/>
      <c r="C35" s="21"/>
      <c r="D35" s="21"/>
      <c r="E35" s="21"/>
      <c r="F35" s="21"/>
      <c r="G35" s="2" t="s">
        <v>64</v>
      </c>
      <c r="H35" s="9">
        <f>MAX(F36:F39)</f>
        <v>9</v>
      </c>
      <c r="I35" s="10" t="s">
        <v>65</v>
      </c>
      <c r="J35" s="10" t="s">
        <v>65</v>
      </c>
      <c r="K35" s="10" t="s">
        <v>65</v>
      </c>
      <c r="L35" s="10" t="s">
        <v>65</v>
      </c>
      <c r="M35" s="10" t="s">
        <v>65</v>
      </c>
      <c r="N35" s="10" t="s">
        <v>65</v>
      </c>
    </row>
    <row r="36" spans="1:14" ht="21.95" customHeight="1" x14ac:dyDescent="0.25">
      <c r="A36" s="2" t="s">
        <v>32</v>
      </c>
      <c r="B36" s="3" t="s">
        <v>33</v>
      </c>
      <c r="C36" s="4" t="s">
        <v>17</v>
      </c>
      <c r="D36" s="6">
        <f>MIN(Оценки!D35,Оценки!G35,Оценки!J35,Оценки!M35)</f>
        <v>5</v>
      </c>
      <c r="E36" s="7">
        <f>AVERAGE(Оценки!E35,Оценки!H35,Оценки!K35,Оценки!N35)</f>
        <v>7</v>
      </c>
      <c r="F36" s="6">
        <f>MAX(Оценки!F35,Оценки!I35,Оценки!L35,Оценки!O35)</f>
        <v>9</v>
      </c>
      <c r="G36" s="8">
        <f t="shared" ref="G36:I39" si="3">D36/$H$35</f>
        <v>0.55555555555555558</v>
      </c>
      <c r="H36" s="8">
        <f t="shared" si="3"/>
        <v>0.77777777777777779</v>
      </c>
      <c r="I36" s="8">
        <f t="shared" si="3"/>
        <v>1</v>
      </c>
      <c r="J36" s="8">
        <f>G36*$G$13</f>
        <v>0.16666666666666666</v>
      </c>
      <c r="K36" s="8">
        <f>H36*$H$13</f>
        <v>0.40833333333333338</v>
      </c>
      <c r="L36" s="8">
        <f>I36*$I$13</f>
        <v>0.7</v>
      </c>
      <c r="M36" s="8">
        <f>SQRT(((1-J36)^2+(1-K36)^2+(1-L36)^2)/3)</f>
        <v>0.614956336902301</v>
      </c>
      <c r="N36" s="8">
        <f>SQRT((J36^2+K36^2+L36^2)/3)</f>
        <v>0.47767279208292396</v>
      </c>
    </row>
    <row r="37" spans="1:14" ht="21.95" customHeight="1" x14ac:dyDescent="0.25">
      <c r="A37" s="2" t="s">
        <v>34</v>
      </c>
      <c r="B37" s="3" t="s">
        <v>35</v>
      </c>
      <c r="C37" s="4" t="s">
        <v>17</v>
      </c>
      <c r="D37" s="6">
        <f>MIN(Оценки!D36,Оценки!G36,Оценки!J36,Оценки!M36)</f>
        <v>6</v>
      </c>
      <c r="E37" s="7">
        <f>AVERAGE(Оценки!E36,Оценки!H36,Оценки!K36,Оценки!N36)</f>
        <v>7.5</v>
      </c>
      <c r="F37" s="6">
        <f>MAX(Оценки!F36,Оценки!I36,Оценки!L36,Оценки!O36)</f>
        <v>9</v>
      </c>
      <c r="G37" s="8">
        <f t="shared" si="3"/>
        <v>0.66666666666666663</v>
      </c>
      <c r="H37" s="8">
        <f t="shared" si="3"/>
        <v>0.83333333333333337</v>
      </c>
      <c r="I37" s="8">
        <f t="shared" si="3"/>
        <v>1</v>
      </c>
      <c r="J37" s="8">
        <f>G37*$G$13</f>
        <v>0.19999999999999998</v>
      </c>
      <c r="K37" s="8">
        <f>H37*$H$13</f>
        <v>0.43750000000000006</v>
      </c>
      <c r="L37" s="8">
        <f>I37*$I$13</f>
        <v>0.7</v>
      </c>
      <c r="M37" s="8">
        <f>SQRT(((1-J37)^2+(1-K37)^2+(1-L37)^2)/3)</f>
        <v>0.59059468617092503</v>
      </c>
      <c r="N37" s="8">
        <f>SQRT((J37^2+K37^2+L37^2)/3)</f>
        <v>0.49037613114832579</v>
      </c>
    </row>
    <row r="38" spans="1:14" ht="21.95" customHeight="1" x14ac:dyDescent="0.25">
      <c r="A38" s="2" t="s">
        <v>36</v>
      </c>
      <c r="B38" s="3" t="s">
        <v>37</v>
      </c>
      <c r="C38" s="4" t="s">
        <v>17</v>
      </c>
      <c r="D38" s="6">
        <f>MIN(Оценки!D37,Оценки!G37,Оценки!J37,Оценки!M37)</f>
        <v>6</v>
      </c>
      <c r="E38" s="7">
        <f>AVERAGE(Оценки!E37,Оценки!H37,Оценки!K37,Оценки!N37)</f>
        <v>7.25</v>
      </c>
      <c r="F38" s="6">
        <f>MAX(Оценки!F37,Оценки!I37,Оценки!L37,Оценки!O37)</f>
        <v>9</v>
      </c>
      <c r="G38" s="8">
        <f t="shared" si="3"/>
        <v>0.66666666666666663</v>
      </c>
      <c r="H38" s="8">
        <f t="shared" si="3"/>
        <v>0.80555555555555558</v>
      </c>
      <c r="I38" s="8">
        <f t="shared" si="3"/>
        <v>1</v>
      </c>
      <c r="J38" s="8">
        <f>G38*$G$13</f>
        <v>0.19999999999999998</v>
      </c>
      <c r="K38" s="8">
        <f>H38*$H$13</f>
        <v>0.42291666666666672</v>
      </c>
      <c r="L38" s="8">
        <f>I38*$I$13</f>
        <v>0.7</v>
      </c>
      <c r="M38" s="8">
        <f>SQRT(((1-J38)^2+(1-K38)^2+(1-L38)^2)/3)</f>
        <v>0.59526609557158305</v>
      </c>
      <c r="N38" s="8">
        <f>SQRT((J38^2+K38^2+L38^2)/3)</f>
        <v>0.48609275759003184</v>
      </c>
    </row>
    <row r="39" spans="1:14" ht="21.95" customHeight="1" x14ac:dyDescent="0.25">
      <c r="A39" s="2" t="s">
        <v>38</v>
      </c>
      <c r="B39" s="3" t="s">
        <v>39</v>
      </c>
      <c r="C39" s="4" t="s">
        <v>17</v>
      </c>
      <c r="D39" s="6">
        <f>MIN(Оценки!D38,Оценки!G38,Оценки!J38,Оценки!M38)</f>
        <v>5</v>
      </c>
      <c r="E39" s="7">
        <f>AVERAGE(Оценки!E38,Оценки!H38,Оценки!K38,Оценки!N38)</f>
        <v>6.25</v>
      </c>
      <c r="F39" s="6">
        <f>MAX(Оценки!F38,Оценки!I38,Оценки!L38,Оценки!O38)</f>
        <v>8</v>
      </c>
      <c r="G39" s="8">
        <f t="shared" si="3"/>
        <v>0.55555555555555558</v>
      </c>
      <c r="H39" s="8">
        <f t="shared" si="3"/>
        <v>0.69444444444444442</v>
      </c>
      <c r="I39" s="8">
        <f t="shared" si="3"/>
        <v>0.88888888888888884</v>
      </c>
      <c r="J39" s="8">
        <f>G39*$G$13</f>
        <v>0.16666666666666666</v>
      </c>
      <c r="K39" s="8">
        <f>H39*$H$13</f>
        <v>0.36458333333333331</v>
      </c>
      <c r="L39" s="8">
        <f>I39*$I$13</f>
        <v>0.62222222222222212</v>
      </c>
      <c r="M39" s="8">
        <f>SQRT(((1-J39)^2+(1-K39)^2+(1-L39)^2)/3)</f>
        <v>0.64314716670057681</v>
      </c>
      <c r="N39" s="8">
        <f>SQRT((J39^2+K39^2+L39^2)/3)</f>
        <v>0.42734033219023554</v>
      </c>
    </row>
    <row r="40" spans="1:14" ht="21.95" customHeight="1" x14ac:dyDescent="0.25">
      <c r="A40" s="21" t="s">
        <v>43</v>
      </c>
      <c r="B40" s="21"/>
      <c r="C40" s="21"/>
      <c r="D40" s="21"/>
      <c r="E40" s="21"/>
      <c r="F40" s="21"/>
      <c r="G40" s="2" t="s">
        <v>64</v>
      </c>
      <c r="H40" s="9">
        <f>MAX(F41:F44)</f>
        <v>9</v>
      </c>
      <c r="I40" s="10" t="s">
        <v>65</v>
      </c>
      <c r="J40" s="10" t="s">
        <v>65</v>
      </c>
      <c r="K40" s="10" t="s">
        <v>65</v>
      </c>
      <c r="L40" s="10" t="s">
        <v>65</v>
      </c>
      <c r="M40" s="10" t="s">
        <v>65</v>
      </c>
      <c r="N40" s="10" t="s">
        <v>65</v>
      </c>
    </row>
    <row r="41" spans="1:14" ht="21.95" customHeight="1" x14ac:dyDescent="0.25">
      <c r="A41" s="2" t="s">
        <v>32</v>
      </c>
      <c r="B41" s="3" t="s">
        <v>33</v>
      </c>
      <c r="C41" s="4" t="s">
        <v>17</v>
      </c>
      <c r="D41" s="6">
        <f>MIN(Оценки!D40,Оценки!G40,Оценки!J40,Оценки!M40)</f>
        <v>5</v>
      </c>
      <c r="E41" s="7">
        <f>AVERAGE(Оценки!E40,Оценки!H40,Оценки!K40,Оценки!N40)</f>
        <v>7.25</v>
      </c>
      <c r="F41" s="6">
        <f>MAX(Оценки!F40,Оценки!I40,Оценки!L40,Оценки!O40)</f>
        <v>9</v>
      </c>
      <c r="G41" s="8">
        <f t="shared" ref="G41:I44" si="4">D41/$H$40</f>
        <v>0.55555555555555558</v>
      </c>
      <c r="H41" s="8">
        <f t="shared" si="4"/>
        <v>0.80555555555555558</v>
      </c>
      <c r="I41" s="8">
        <f t="shared" si="4"/>
        <v>1</v>
      </c>
      <c r="J41" s="8">
        <f>G41*$G$14</f>
        <v>0.27777777777777779</v>
      </c>
      <c r="K41" s="8">
        <f>H41*$H$14</f>
        <v>0.56388888888888888</v>
      </c>
      <c r="L41" s="8">
        <f>I41*$I$14</f>
        <v>0.9</v>
      </c>
      <c r="M41" s="8">
        <f>SQRT(((1-J41)^2+(1-K41)^2+(1-L41)^2)/3)</f>
        <v>0.49050920463880282</v>
      </c>
      <c r="N41" s="8">
        <f>SQRT((J41^2+K41^2+L41^2)/3)</f>
        <v>0.63380627241019161</v>
      </c>
    </row>
    <row r="42" spans="1:14" ht="21.95" customHeight="1" x14ac:dyDescent="0.25">
      <c r="A42" s="2" t="s">
        <v>34</v>
      </c>
      <c r="B42" s="3" t="s">
        <v>35</v>
      </c>
      <c r="C42" s="4" t="s">
        <v>17</v>
      </c>
      <c r="D42" s="6">
        <f>MIN(Оценки!D41,Оценки!G41,Оценки!J41,Оценки!M41)</f>
        <v>6</v>
      </c>
      <c r="E42" s="7">
        <f>AVERAGE(Оценки!E41,Оценки!H41,Оценки!K41,Оценки!N41)</f>
        <v>7.5</v>
      </c>
      <c r="F42" s="6">
        <f>MAX(Оценки!F41,Оценки!I41,Оценки!L41,Оценки!O41)</f>
        <v>9</v>
      </c>
      <c r="G42" s="8">
        <f t="shared" si="4"/>
        <v>0.66666666666666663</v>
      </c>
      <c r="H42" s="8">
        <f t="shared" si="4"/>
        <v>0.83333333333333337</v>
      </c>
      <c r="I42" s="8">
        <f t="shared" si="4"/>
        <v>1</v>
      </c>
      <c r="J42" s="8">
        <f>G42*$G$14</f>
        <v>0.33333333333333331</v>
      </c>
      <c r="K42" s="8">
        <f>H42*$H$14</f>
        <v>0.58333333333333337</v>
      </c>
      <c r="L42" s="8">
        <f>I42*$I$14</f>
        <v>0.9</v>
      </c>
      <c r="M42" s="8">
        <f>SQRT(((1-J42)^2+(1-K42)^2+(1-L42)^2)/3)</f>
        <v>0.45754983537517735</v>
      </c>
      <c r="N42" s="8">
        <f>SQRT((J42^2+K42^2+L42^2)/3)</f>
        <v>0.64843115514521898</v>
      </c>
    </row>
    <row r="43" spans="1:14" ht="21.95" customHeight="1" x14ac:dyDescent="0.25">
      <c r="A43" s="2" t="s">
        <v>36</v>
      </c>
      <c r="B43" s="3" t="s">
        <v>37</v>
      </c>
      <c r="C43" s="4" t="s">
        <v>17</v>
      </c>
      <c r="D43" s="6">
        <f>MIN(Оценки!D42,Оценки!G42,Оценки!J42,Оценки!M42)</f>
        <v>5</v>
      </c>
      <c r="E43" s="7">
        <f>AVERAGE(Оценки!E42,Оценки!H42,Оценки!K42,Оценки!N42)</f>
        <v>6</v>
      </c>
      <c r="F43" s="6">
        <f>MAX(Оценки!F42,Оценки!I42,Оценки!L42,Оценки!O42)</f>
        <v>8</v>
      </c>
      <c r="G43" s="8">
        <f t="shared" si="4"/>
        <v>0.55555555555555558</v>
      </c>
      <c r="H43" s="8">
        <f t="shared" si="4"/>
        <v>0.66666666666666663</v>
      </c>
      <c r="I43" s="8">
        <f t="shared" si="4"/>
        <v>0.88888888888888884</v>
      </c>
      <c r="J43" s="8">
        <f>G43*$G$14</f>
        <v>0.27777777777777779</v>
      </c>
      <c r="K43" s="8">
        <f>H43*$H$14</f>
        <v>0.46666666666666662</v>
      </c>
      <c r="L43" s="8">
        <f>I43*$I$14</f>
        <v>0.79999999999999993</v>
      </c>
      <c r="M43" s="8">
        <f>SQRT(((1-J43)^2+(1-K43)^2+(1-L43)^2)/3)</f>
        <v>0.53105222050693834</v>
      </c>
      <c r="N43" s="8">
        <f>SQRT((J43^2+K43^2+L43^2)/3)</f>
        <v>0.55825271207131577</v>
      </c>
    </row>
    <row r="44" spans="1:14" ht="21.95" customHeight="1" x14ac:dyDescent="0.25">
      <c r="A44" s="2" t="s">
        <v>38</v>
      </c>
      <c r="B44" s="3" t="s">
        <v>39</v>
      </c>
      <c r="C44" s="4" t="s">
        <v>17</v>
      </c>
      <c r="D44" s="6">
        <f>MIN(Оценки!D43,Оценки!G43,Оценки!J43,Оценки!M43)</f>
        <v>2</v>
      </c>
      <c r="E44" s="7">
        <f>AVERAGE(Оценки!E43,Оценки!H43,Оценки!K43,Оценки!N43)</f>
        <v>3.75</v>
      </c>
      <c r="F44" s="6">
        <f>MAX(Оценки!F43,Оценки!I43,Оценки!L43,Оценки!O43)</f>
        <v>6</v>
      </c>
      <c r="G44" s="8">
        <f t="shared" si="4"/>
        <v>0.22222222222222221</v>
      </c>
      <c r="H44" s="8">
        <f t="shared" si="4"/>
        <v>0.41666666666666669</v>
      </c>
      <c r="I44" s="8">
        <f t="shared" si="4"/>
        <v>0.66666666666666663</v>
      </c>
      <c r="J44" s="8">
        <f>G44*$G$14</f>
        <v>0.1111111111111111</v>
      </c>
      <c r="K44" s="8">
        <f>H44*$H$14</f>
        <v>0.29166666666666669</v>
      </c>
      <c r="L44" s="8">
        <f>I44*$I$14</f>
        <v>0.6</v>
      </c>
      <c r="M44" s="8">
        <f>SQRT(((1-J44)^2+(1-K44)^2+(1-L44)^2)/3)</f>
        <v>0.69566744159865035</v>
      </c>
      <c r="N44" s="8">
        <f>SQRT((J44^2+K44^2+L44^2)/3)</f>
        <v>0.39047625768915839</v>
      </c>
    </row>
    <row r="45" spans="1:14" ht="21.95" customHeight="1" x14ac:dyDescent="0.25">
      <c r="A45" s="21" t="s">
        <v>44</v>
      </c>
      <c r="B45" s="21"/>
      <c r="C45" s="21"/>
      <c r="D45" s="21"/>
      <c r="E45" s="21"/>
      <c r="F45" s="21"/>
      <c r="G45" s="2" t="s">
        <v>66</v>
      </c>
      <c r="H45" s="9">
        <f>MIN(D46:D49)</f>
        <v>1</v>
      </c>
      <c r="I45" s="10" t="s">
        <v>65</v>
      </c>
      <c r="J45" s="10" t="s">
        <v>65</v>
      </c>
      <c r="K45" s="10" t="s">
        <v>65</v>
      </c>
      <c r="L45" s="10" t="s">
        <v>65</v>
      </c>
      <c r="M45" s="10" t="s">
        <v>65</v>
      </c>
      <c r="N45" s="10" t="s">
        <v>65</v>
      </c>
    </row>
    <row r="46" spans="1:14" ht="21.95" customHeight="1" x14ac:dyDescent="0.25">
      <c r="A46" s="2" t="s">
        <v>32</v>
      </c>
      <c r="B46" s="3" t="s">
        <v>33</v>
      </c>
      <c r="C46" s="4" t="s">
        <v>20</v>
      </c>
      <c r="D46" s="6">
        <f>MIN(Оценки!D45,Оценки!G45,Оценки!J45,Оценки!M45)</f>
        <v>1</v>
      </c>
      <c r="E46" s="7">
        <f>AVERAGE(Оценки!E45,Оценки!H45,Оценки!K45,Оценки!N45)</f>
        <v>3</v>
      </c>
      <c r="F46" s="6">
        <f>MAX(Оценки!F45,Оценки!I45,Оценки!L45,Оценки!O45)</f>
        <v>5</v>
      </c>
      <c r="G46" s="8">
        <f>$H$45/F46</f>
        <v>0.2</v>
      </c>
      <c r="H46" s="8">
        <f>$H$45/E46</f>
        <v>0.33333333333333331</v>
      </c>
      <c r="I46" s="8">
        <f>$H$45/D46</f>
        <v>1</v>
      </c>
      <c r="J46" s="8">
        <f>G46*$G$15</f>
        <v>8.0000000000000016E-2</v>
      </c>
      <c r="K46" s="8">
        <f>H46*$H$15</f>
        <v>0.21666666666666667</v>
      </c>
      <c r="L46" s="8">
        <f>I46*$I$15</f>
        <v>0.9</v>
      </c>
      <c r="M46" s="8">
        <f>SQRT(((1-J46)^2+(1-K46)^2+(1-L46)^2)/3)</f>
        <v>0.70000264549764646</v>
      </c>
      <c r="N46" s="8">
        <f>SQRT((J46^2+K46^2+L46^2)/3)</f>
        <v>0.53645268335751806</v>
      </c>
    </row>
    <row r="47" spans="1:14" ht="21.95" customHeight="1" x14ac:dyDescent="0.25">
      <c r="A47" s="2" t="s">
        <v>34</v>
      </c>
      <c r="B47" s="3" t="s">
        <v>35</v>
      </c>
      <c r="C47" s="4" t="s">
        <v>20</v>
      </c>
      <c r="D47" s="6">
        <f>MIN(Оценки!D46,Оценки!G46,Оценки!J46,Оценки!M46)</f>
        <v>5</v>
      </c>
      <c r="E47" s="7">
        <f>AVERAGE(Оценки!E46,Оценки!H46,Оценки!K46,Оценки!N46)</f>
        <v>6.25</v>
      </c>
      <c r="F47" s="6">
        <f>MAX(Оценки!F46,Оценки!I46,Оценки!L46,Оценки!O46)</f>
        <v>8</v>
      </c>
      <c r="G47" s="8">
        <f>$H$45/F47</f>
        <v>0.125</v>
      </c>
      <c r="H47" s="8">
        <f>$H$45/E47</f>
        <v>0.16</v>
      </c>
      <c r="I47" s="8">
        <f>$H$45/D47</f>
        <v>0.2</v>
      </c>
      <c r="J47" s="8">
        <f>G47*$G$15</f>
        <v>0.05</v>
      </c>
      <c r="K47" s="8">
        <f>H47*$H$15</f>
        <v>0.10400000000000001</v>
      </c>
      <c r="L47" s="8">
        <f>I47*$I$15</f>
        <v>0.18000000000000002</v>
      </c>
      <c r="M47" s="8">
        <f>SQRT(((1-J47)^2+(1-K47)^2+(1-L47)^2)/3)</f>
        <v>0.89026512904864463</v>
      </c>
      <c r="N47" s="8">
        <f>SQRT((J47^2+K47^2+L47^2)/3)</f>
        <v>0.12344499449822446</v>
      </c>
    </row>
    <row r="48" spans="1:14" ht="21.95" customHeight="1" x14ac:dyDescent="0.25">
      <c r="A48" s="2" t="s">
        <v>36</v>
      </c>
      <c r="B48" s="3" t="s">
        <v>37</v>
      </c>
      <c r="C48" s="4" t="s">
        <v>20</v>
      </c>
      <c r="D48" s="6">
        <f>MIN(Оценки!D47,Оценки!G47,Оценки!J47,Оценки!M47)</f>
        <v>2</v>
      </c>
      <c r="E48" s="7">
        <f>AVERAGE(Оценки!E47,Оценки!H47,Оценки!K47,Оценки!N47)</f>
        <v>3.25</v>
      </c>
      <c r="F48" s="6">
        <f>MAX(Оценки!F47,Оценки!I47,Оценки!L47,Оценки!O47)</f>
        <v>5</v>
      </c>
      <c r="G48" s="8">
        <f>$H$45/F48</f>
        <v>0.2</v>
      </c>
      <c r="H48" s="8">
        <f>$H$45/E48</f>
        <v>0.30769230769230771</v>
      </c>
      <c r="I48" s="8">
        <f>$H$45/D48</f>
        <v>0.5</v>
      </c>
      <c r="J48" s="8">
        <f>G48*$G$15</f>
        <v>8.0000000000000016E-2</v>
      </c>
      <c r="K48" s="8">
        <f>H48*$H$15</f>
        <v>0.2</v>
      </c>
      <c r="L48" s="8">
        <f>I48*$I$15</f>
        <v>0.45</v>
      </c>
      <c r="M48" s="8">
        <f>SQRT(((1-J48)^2+(1-K48)^2+(1-L48)^2)/3)</f>
        <v>0.7722046360907191</v>
      </c>
      <c r="N48" s="8">
        <f>SQRT((J48^2+K48^2+L48^2)/3)</f>
        <v>0.28803934916373264</v>
      </c>
    </row>
    <row r="49" spans="1:14" ht="21.95" customHeight="1" x14ac:dyDescent="0.25">
      <c r="A49" s="2" t="s">
        <v>38</v>
      </c>
      <c r="B49" s="3" t="s">
        <v>39</v>
      </c>
      <c r="C49" s="4" t="s">
        <v>20</v>
      </c>
      <c r="D49" s="6">
        <f>MIN(Оценки!D48,Оценки!G48,Оценки!J48,Оценки!M48)</f>
        <v>6</v>
      </c>
      <c r="E49" s="7">
        <f>AVERAGE(Оценки!E48,Оценки!H48,Оценки!K48,Оценки!N48)</f>
        <v>7.5</v>
      </c>
      <c r="F49" s="6">
        <f>MAX(Оценки!F48,Оценки!I48,Оценки!L48,Оценки!O48)</f>
        <v>9</v>
      </c>
      <c r="G49" s="8">
        <f>$H$45/F49</f>
        <v>0.1111111111111111</v>
      </c>
      <c r="H49" s="8">
        <f>$H$45/E49</f>
        <v>0.13333333333333333</v>
      </c>
      <c r="I49" s="8">
        <f>$H$45/D49</f>
        <v>0.16666666666666666</v>
      </c>
      <c r="J49" s="8">
        <f>G49*$G$15</f>
        <v>4.4444444444444446E-2</v>
      </c>
      <c r="K49" s="8">
        <f>H49*$H$15</f>
        <v>8.666666666666667E-2</v>
      </c>
      <c r="L49" s="8">
        <f>I49*$I$15</f>
        <v>0.15</v>
      </c>
      <c r="M49" s="8">
        <f>SQRT(((1-J49)^2+(1-K49)^2+(1-L49)^2)/3)</f>
        <v>0.90733385945322687</v>
      </c>
      <c r="N49" s="8">
        <f>SQRT((J49^2+K49^2+L49^2)/3)</f>
        <v>0.10325763854405869</v>
      </c>
    </row>
    <row r="50" spans="1:14" ht="21.95" customHeight="1" x14ac:dyDescent="0.25"/>
    <row r="51" spans="1:14" ht="21.95" customHeight="1" x14ac:dyDescent="0.25">
      <c r="A51" s="1" t="s">
        <v>67</v>
      </c>
    </row>
    <row r="52" spans="1:14" ht="21.95" customHeight="1" x14ac:dyDescent="0.25">
      <c r="A52" s="2" t="s">
        <v>5</v>
      </c>
      <c r="B52" s="20" t="s">
        <v>30</v>
      </c>
      <c r="C52" s="20"/>
      <c r="D52" s="2" t="s">
        <v>68</v>
      </c>
      <c r="E52" s="2" t="s">
        <v>69</v>
      </c>
      <c r="F52" s="2" t="s">
        <v>70</v>
      </c>
      <c r="G52" s="2" t="s">
        <v>71</v>
      </c>
    </row>
    <row r="53" spans="1:14" ht="21.95" customHeight="1" x14ac:dyDescent="0.25">
      <c r="A53" s="2" t="s">
        <v>32</v>
      </c>
      <c r="B53" s="24" t="s">
        <v>33</v>
      </c>
      <c r="C53" s="24"/>
      <c r="D53" s="8">
        <f>SUMIF($A$20:$A$49,A53,$M$20:$M$49)</f>
        <v>3.3867746703030379</v>
      </c>
      <c r="E53" s="8">
        <f>SUMIF($A$20:$A$49,A53,$N$20:$N$49)</f>
        <v>3.4444530111342839</v>
      </c>
      <c r="F53" s="11">
        <f>E53/(D53+E53)</f>
        <v>0.50422166728448947</v>
      </c>
      <c r="G53" s="12">
        <f>RANK(F53,$F$53:$F$56,0)</f>
        <v>1</v>
      </c>
    </row>
    <row r="54" spans="1:14" ht="21.95" customHeight="1" x14ac:dyDescent="0.25">
      <c r="A54" s="2" t="s">
        <v>34</v>
      </c>
      <c r="B54" s="24" t="s">
        <v>35</v>
      </c>
      <c r="C54" s="24"/>
      <c r="D54" s="8">
        <f>SUMIF($A$20:$A$49,A54,$M$20:$M$49)</f>
        <v>3.419416007693433</v>
      </c>
      <c r="E54" s="8">
        <f>SUMIF($A$20:$A$49,A54,$N$20:$N$49)</f>
        <v>3.1052440618460815</v>
      </c>
      <c r="F54" s="11">
        <f>E54/(D54+E54)</f>
        <v>0.47592426712664554</v>
      </c>
      <c r="G54" s="12">
        <f>RANK(F54,$F$53:$F$56,0)</f>
        <v>2</v>
      </c>
    </row>
    <row r="55" spans="1:14" ht="21.95" customHeight="1" x14ac:dyDescent="0.25">
      <c r="A55" s="2" t="s">
        <v>36</v>
      </c>
      <c r="B55" s="24" t="s">
        <v>37</v>
      </c>
      <c r="C55" s="24"/>
      <c r="D55" s="8">
        <f>SUMIF($A$20:$A$49,A55,$M$20:$M$49)</f>
        <v>3.5515707594808235</v>
      </c>
      <c r="E55" s="8">
        <f>SUMIF($A$20:$A$49,A55,$N$20:$N$49)</f>
        <v>2.9584403897575955</v>
      </c>
      <c r="F55" s="11">
        <f>E55/(D55+E55)</f>
        <v>0.45444475008367563</v>
      </c>
      <c r="G55" s="12">
        <f>RANK(F55,$F$53:$F$56,0)</f>
        <v>3</v>
      </c>
    </row>
    <row r="56" spans="1:14" ht="21.95" customHeight="1" x14ac:dyDescent="0.25">
      <c r="A56" s="2" t="s">
        <v>38</v>
      </c>
      <c r="B56" s="24" t="s">
        <v>39</v>
      </c>
      <c r="C56" s="24"/>
      <c r="D56" s="8">
        <f>SUMIF($A$20:$A$49,A56,$M$20:$M$49)</f>
        <v>3.9149769112714026</v>
      </c>
      <c r="E56" s="8">
        <f>SUMIF($A$20:$A$49,A56,$N$20:$N$49)</f>
        <v>2.5767777142567905</v>
      </c>
      <c r="F56" s="11">
        <f>E56/(D56+E56)</f>
        <v>0.39693085504554698</v>
      </c>
      <c r="G56" s="12">
        <f>RANK(F56,$F$53:$F$56,0)</f>
        <v>4</v>
      </c>
    </row>
    <row r="57" spans="1:14" ht="21.95" customHeight="1" x14ac:dyDescent="0.25"/>
    <row r="58" spans="1:14" ht="21.95" customHeight="1" x14ac:dyDescent="0.25">
      <c r="A58" s="25" t="s">
        <v>72</v>
      </c>
      <c r="B58" s="25"/>
      <c r="C58" s="25" t="str">
        <f>INDEX(A53:A56,MATCH(1,G53:G56,0))&amp;". "&amp;INDEX(B53:B56,MATCH(1,G53:G56,0))</f>
        <v>A1. Управление системными службами</v>
      </c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</sheetData>
  <mergeCells count="31">
    <mergeCell ref="B54:C54"/>
    <mergeCell ref="B55:C55"/>
    <mergeCell ref="B56:C56"/>
    <mergeCell ref="A58:B58"/>
    <mergeCell ref="C58:N58"/>
    <mergeCell ref="A35:F35"/>
    <mergeCell ref="A40:F40"/>
    <mergeCell ref="A45:F45"/>
    <mergeCell ref="B52:C52"/>
    <mergeCell ref="B53:C53"/>
    <mergeCell ref="M18:M19"/>
    <mergeCell ref="N18:N19"/>
    <mergeCell ref="A20:F20"/>
    <mergeCell ref="A25:F25"/>
    <mergeCell ref="A30:F30"/>
    <mergeCell ref="D18:F18"/>
    <mergeCell ref="G18:I18"/>
    <mergeCell ref="J18:L18"/>
    <mergeCell ref="A18:A19"/>
    <mergeCell ref="B18:B19"/>
    <mergeCell ref="C18:C19"/>
    <mergeCell ref="D8:F8"/>
    <mergeCell ref="G8:I8"/>
    <mergeCell ref="A8:A9"/>
    <mergeCell ref="B8:B9"/>
    <mergeCell ref="C8:C9"/>
    <mergeCell ref="A1:N1"/>
    <mergeCell ref="A2:N2"/>
    <mergeCell ref="A3:N3"/>
    <mergeCell ref="A4:N4"/>
    <mergeCell ref="A5:N5"/>
  </mergeCells>
  <conditionalFormatting sqref="A53:G56">
    <cfRule type="expression" dxfId="38" priority="1">
      <formula>$G53=1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5"/>
  <sheetViews>
    <sheetView workbookViewId="0"/>
  </sheetViews>
  <sheetFormatPr defaultRowHeight="15" x14ac:dyDescent="0.25"/>
  <sheetData>
    <row r="1" spans="1:20" ht="26.1" customHeight="1" x14ac:dyDescent="0.25">
      <c r="A1" s="22" t="s">
        <v>73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spans="1:20" ht="21.95" customHeight="1" x14ac:dyDescent="0.25">
      <c r="A2" s="23" t="s">
        <v>74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spans="1:20" ht="21.95" customHeight="1" x14ac:dyDescent="0.25">
      <c r="A3" s="23" t="s">
        <v>75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1:20" ht="21.95" customHeight="1" x14ac:dyDescent="0.25">
      <c r="A4" s="23" t="s">
        <v>76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</row>
    <row r="5" spans="1:20" ht="21.95" customHeight="1" x14ac:dyDescent="0.25"/>
    <row r="6" spans="1:20" ht="21.95" customHeight="1" x14ac:dyDescent="0.25">
      <c r="A6" s="26" t="s">
        <v>77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spans="1:20" ht="21.95" customHeight="1" x14ac:dyDescent="0.25">
      <c r="A7" s="25" t="s">
        <v>78</v>
      </c>
      <c r="B7" s="25"/>
      <c r="C7" s="25"/>
      <c r="D7" s="25"/>
      <c r="E7" s="25"/>
      <c r="F7" s="25"/>
      <c r="G7" s="25"/>
      <c r="H7" s="25"/>
    </row>
    <row r="8" spans="1:20" ht="21.95" customHeight="1" x14ac:dyDescent="0.25">
      <c r="A8" s="2" t="s">
        <v>65</v>
      </c>
      <c r="B8" s="2" t="s">
        <v>15</v>
      </c>
      <c r="C8" s="2" t="s">
        <v>18</v>
      </c>
      <c r="D8" s="2" t="s">
        <v>21</v>
      </c>
      <c r="E8" s="2" t="s">
        <v>23</v>
      </c>
      <c r="F8" s="2" t="s">
        <v>25</v>
      </c>
      <c r="G8" s="2" t="s">
        <v>27</v>
      </c>
      <c r="H8" s="2" t="s">
        <v>79</v>
      </c>
    </row>
    <row r="9" spans="1:20" ht="21.95" customHeight="1" x14ac:dyDescent="0.25">
      <c r="A9" s="2" t="s">
        <v>15</v>
      </c>
      <c r="B9" s="13">
        <v>1</v>
      </c>
      <c r="C9" s="14">
        <v>2</v>
      </c>
      <c r="D9" s="14">
        <v>3</v>
      </c>
      <c r="E9" s="14">
        <v>4</v>
      </c>
      <c r="F9" s="14">
        <v>2</v>
      </c>
      <c r="G9" s="14">
        <v>3</v>
      </c>
      <c r="H9" s="8">
        <f>GEOMEAN(B9:G9)/(GEOMEAN(B9:G9)+GEOMEAN(B10:G10)+GEOMEAN(B11:G11)+GEOMEAN(B12:G12)+GEOMEAN(B13:G13)+GEOMEAN(B14:G14))</f>
        <v>0.33151757666385684</v>
      </c>
    </row>
    <row r="10" spans="1:20" ht="21.95" customHeight="1" x14ac:dyDescent="0.25">
      <c r="A10" s="2" t="s">
        <v>18</v>
      </c>
      <c r="B10" s="13">
        <f>1/C9</f>
        <v>0.5</v>
      </c>
      <c r="C10" s="13">
        <v>1</v>
      </c>
      <c r="D10" s="14">
        <v>2</v>
      </c>
      <c r="E10" s="14">
        <v>3</v>
      </c>
      <c r="F10" s="14">
        <v>1</v>
      </c>
      <c r="G10" s="14">
        <v>2</v>
      </c>
      <c r="H10" s="8">
        <f>GEOMEAN(B10:G10)/(GEOMEAN(B9:G9)+GEOMEAN(B10:G10)+GEOMEAN(B11:G11)+GEOMEAN(B12:G12)+GEOMEAN(B13:G13)+GEOMEAN(B14:G14))</f>
        <v>0.19519619704532223</v>
      </c>
    </row>
    <row r="11" spans="1:20" ht="21.95" customHeight="1" x14ac:dyDescent="0.25">
      <c r="A11" s="2" t="s">
        <v>21</v>
      </c>
      <c r="B11" s="13">
        <f>1/D9</f>
        <v>0.33333333333333331</v>
      </c>
      <c r="C11" s="13">
        <f>1/D10</f>
        <v>0.5</v>
      </c>
      <c r="D11" s="13">
        <v>1</v>
      </c>
      <c r="E11" s="14">
        <v>2</v>
      </c>
      <c r="F11" s="14">
        <f>1/2</f>
        <v>0.5</v>
      </c>
      <c r="G11" s="14">
        <v>1</v>
      </c>
      <c r="H11" s="8">
        <f>GEOMEAN(B11:G11)/(GEOMEAN(B9:G9)+GEOMEAN(B10:G10)+GEOMEAN(B11:G11)+GEOMEAN(B12:G12)+GEOMEAN(B13:G13)+GEOMEAN(B14:G14))</f>
        <v>0.10742060698409238</v>
      </c>
    </row>
    <row r="12" spans="1:20" ht="21.95" customHeight="1" x14ac:dyDescent="0.25">
      <c r="A12" s="2" t="s">
        <v>23</v>
      </c>
      <c r="B12" s="13">
        <f>1/E9</f>
        <v>0.25</v>
      </c>
      <c r="C12" s="13">
        <f>1/E10</f>
        <v>0.33333333333333331</v>
      </c>
      <c r="D12" s="13">
        <f>1/E11</f>
        <v>0.5</v>
      </c>
      <c r="E12" s="13">
        <v>1</v>
      </c>
      <c r="F12" s="14">
        <f>1/3</f>
        <v>0.33333333333333331</v>
      </c>
      <c r="G12" s="14">
        <f>1/2</f>
        <v>0.5</v>
      </c>
      <c r="H12" s="8">
        <f>GEOMEAN(B12:G12)/(GEOMEAN(B9:G9)+GEOMEAN(B10:G10)+GEOMEAN(B11:G11)+GEOMEAN(B12:G12)+GEOMEAN(B13:G13)+GEOMEAN(B14:G14))</f>
        <v>6.3248815277313838E-2</v>
      </c>
    </row>
    <row r="13" spans="1:20" ht="21.95" customHeight="1" x14ac:dyDescent="0.25">
      <c r="A13" s="2" t="s">
        <v>25</v>
      </c>
      <c r="B13" s="13">
        <f>1/F9</f>
        <v>0.5</v>
      </c>
      <c r="C13" s="13">
        <f>1/F10</f>
        <v>1</v>
      </c>
      <c r="D13" s="13">
        <f>1/F11</f>
        <v>2</v>
      </c>
      <c r="E13" s="13">
        <f>1/F12</f>
        <v>3</v>
      </c>
      <c r="F13" s="13">
        <v>1</v>
      </c>
      <c r="G13" s="14">
        <v>2</v>
      </c>
      <c r="H13" s="8">
        <f>GEOMEAN(B13:G13)/(GEOMEAN(B9:G9)+GEOMEAN(B10:G10)+GEOMEAN(B11:G11)+GEOMEAN(B12:G12)+GEOMEAN(B13:G13)+GEOMEAN(B14:G14))</f>
        <v>0.19519619704532223</v>
      </c>
    </row>
    <row r="14" spans="1:20" ht="21.95" customHeight="1" x14ac:dyDescent="0.25">
      <c r="A14" s="2" t="s">
        <v>27</v>
      </c>
      <c r="B14" s="13">
        <f>1/G9</f>
        <v>0.33333333333333331</v>
      </c>
      <c r="C14" s="13">
        <f>1/G10</f>
        <v>0.5</v>
      </c>
      <c r="D14" s="13">
        <f>1/G11</f>
        <v>1</v>
      </c>
      <c r="E14" s="13">
        <f>1/G12</f>
        <v>2</v>
      </c>
      <c r="F14" s="13">
        <f>1/G13</f>
        <v>0.5</v>
      </c>
      <c r="G14" s="13">
        <v>1</v>
      </c>
      <c r="H14" s="8">
        <f>GEOMEAN(B14:G14)/(GEOMEAN(B9:G9)+GEOMEAN(B10:G10)+GEOMEAN(B11:G11)+GEOMEAN(B12:G12)+GEOMEAN(B13:G13)+GEOMEAN(B14:G14))</f>
        <v>0.10742060698409238</v>
      </c>
    </row>
    <row r="15" spans="1:20" ht="21.95" customHeight="1" x14ac:dyDescent="0.25">
      <c r="A15" s="2" t="s">
        <v>80</v>
      </c>
      <c r="B15" s="8">
        <f>SUM(B9:B14)*H9+SUM(C9:C14)*H10+SUM(D9:D14)*H11+SUM(E9:E14)*H12+SUM(F9:F14)*H13+SUM(G9:G14)*H14</f>
        <v>6.0387427956104833</v>
      </c>
      <c r="C15" s="2" t="s">
        <v>81</v>
      </c>
      <c r="D15" s="11">
        <f>(B15-6)/5/1.24</f>
        <v>6.2488380016908597E-3</v>
      </c>
      <c r="E15" s="27" t="str">
        <f>IF(D15&lt;0.1,"согласована","пересмотреть")</f>
        <v>согласована</v>
      </c>
      <c r="F15" s="27"/>
      <c r="G15" s="27"/>
      <c r="H15" s="27"/>
    </row>
    <row r="16" spans="1:20" ht="21.95" customHeight="1" x14ac:dyDescent="0.25"/>
    <row r="17" spans="1:20" ht="21.95" customHeight="1" x14ac:dyDescent="0.25">
      <c r="A17" s="25" t="s">
        <v>82</v>
      </c>
      <c r="B17" s="25"/>
      <c r="C17" s="25"/>
      <c r="D17" s="25"/>
      <c r="E17" s="25"/>
      <c r="F17" s="25"/>
      <c r="H17" s="25" t="s">
        <v>83</v>
      </c>
      <c r="I17" s="25"/>
      <c r="J17" s="25"/>
      <c r="K17" s="25"/>
      <c r="L17" s="25"/>
      <c r="M17" s="25"/>
      <c r="O17" s="25" t="s">
        <v>84</v>
      </c>
      <c r="P17" s="25"/>
      <c r="Q17" s="25"/>
      <c r="R17" s="25"/>
      <c r="S17" s="25"/>
      <c r="T17" s="25"/>
    </row>
    <row r="18" spans="1:20" ht="21.95" customHeight="1" x14ac:dyDescent="0.25">
      <c r="A18" s="2" t="s">
        <v>65</v>
      </c>
      <c r="B18" s="2" t="s">
        <v>32</v>
      </c>
      <c r="C18" s="2" t="s">
        <v>34</v>
      </c>
      <c r="D18" s="2" t="s">
        <v>36</v>
      </c>
      <c r="E18" s="2" t="s">
        <v>38</v>
      </c>
      <c r="F18" s="2" t="s">
        <v>79</v>
      </c>
      <c r="H18" s="2" t="s">
        <v>65</v>
      </c>
      <c r="I18" s="2" t="s">
        <v>32</v>
      </c>
      <c r="J18" s="2" t="s">
        <v>34</v>
      </c>
      <c r="K18" s="2" t="s">
        <v>36</v>
      </c>
      <c r="L18" s="2" t="s">
        <v>38</v>
      </c>
      <c r="M18" s="2" t="s">
        <v>79</v>
      </c>
      <c r="O18" s="2" t="s">
        <v>65</v>
      </c>
      <c r="P18" s="2" t="s">
        <v>32</v>
      </c>
      <c r="Q18" s="2" t="s">
        <v>34</v>
      </c>
      <c r="R18" s="2" t="s">
        <v>36</v>
      </c>
      <c r="S18" s="2" t="s">
        <v>38</v>
      </c>
      <c r="T18" s="2" t="s">
        <v>79</v>
      </c>
    </row>
    <row r="19" spans="1:20" ht="21.95" customHeight="1" x14ac:dyDescent="0.25">
      <c r="A19" s="2" t="s">
        <v>32</v>
      </c>
      <c r="B19" s="13">
        <v>1</v>
      </c>
      <c r="C19" s="14">
        <v>1</v>
      </c>
      <c r="D19" s="14">
        <v>2</v>
      </c>
      <c r="E19" s="14">
        <v>3</v>
      </c>
      <c r="F19" s="8">
        <f>GEOMEAN(B19:E19)/(GEOMEAN(B19:E19)+GEOMEAN(B20:E20)+GEOMEAN(B21:E21)+GEOMEAN(B22:E22))</f>
        <v>0.3511869046381858</v>
      </c>
      <c r="H19" s="2" t="s">
        <v>32</v>
      </c>
      <c r="I19" s="13">
        <v>1</v>
      </c>
      <c r="J19" s="14">
        <f>1/3</f>
        <v>0.33333333333333331</v>
      </c>
      <c r="K19" s="14">
        <f>1/3</f>
        <v>0.33333333333333331</v>
      </c>
      <c r="L19" s="14">
        <f>1/2</f>
        <v>0.5</v>
      </c>
      <c r="M19" s="8">
        <f>GEOMEAN(I19:L19)/(GEOMEAN(I19:L19)+GEOMEAN(I20:L20)+GEOMEAN(I21:L21)+GEOMEAN(I22:L22))</f>
        <v>0.10893874663644044</v>
      </c>
      <c r="O19" s="2" t="s">
        <v>32</v>
      </c>
      <c r="P19" s="13">
        <v>1</v>
      </c>
      <c r="Q19" s="14">
        <f>1/2</f>
        <v>0.5</v>
      </c>
      <c r="R19" s="14">
        <v>2</v>
      </c>
      <c r="S19" s="14">
        <f>1/2</f>
        <v>0.5</v>
      </c>
      <c r="T19" s="8">
        <f>GEOMEAN(P19:S19)/(GEOMEAN(P19:S19)+GEOMEAN(P20:S20)+GEOMEAN(P21:S21)+GEOMEAN(P22:S22))</f>
        <v>0.18868744408718802</v>
      </c>
    </row>
    <row r="20" spans="1:20" ht="21.95" customHeight="1" x14ac:dyDescent="0.25">
      <c r="A20" s="2" t="s">
        <v>34</v>
      </c>
      <c r="B20" s="13">
        <f>1/C19</f>
        <v>1</v>
      </c>
      <c r="C20" s="13">
        <v>1</v>
      </c>
      <c r="D20" s="14">
        <v>2</v>
      </c>
      <c r="E20" s="14">
        <v>3</v>
      </c>
      <c r="F20" s="8">
        <f>GEOMEAN(B20:E20)/(GEOMEAN(B19:E19)+GEOMEAN(B20:E20)+GEOMEAN(B21:E21)+GEOMEAN(B22:E22))</f>
        <v>0.3511869046381858</v>
      </c>
      <c r="H20" s="2" t="s">
        <v>34</v>
      </c>
      <c r="I20" s="13">
        <f>1/J19</f>
        <v>3</v>
      </c>
      <c r="J20" s="13">
        <v>1</v>
      </c>
      <c r="K20" s="14">
        <v>1</v>
      </c>
      <c r="L20" s="14">
        <v>2</v>
      </c>
      <c r="M20" s="8">
        <f>GEOMEAN(I20:L20)/(GEOMEAN(I19:L19)+GEOMEAN(I20:L20)+GEOMEAN(I21:L21)+GEOMEAN(I22:L22))</f>
        <v>0.35118690463818575</v>
      </c>
      <c r="O20" s="2" t="s">
        <v>34</v>
      </c>
      <c r="P20" s="13">
        <f>1/Q19</f>
        <v>2</v>
      </c>
      <c r="Q20" s="13">
        <v>1</v>
      </c>
      <c r="R20" s="14">
        <v>3</v>
      </c>
      <c r="S20" s="14">
        <v>1</v>
      </c>
      <c r="T20" s="8">
        <f>GEOMEAN(P20:S20)/(GEOMEAN(P19:S19)+GEOMEAN(P20:S20)+GEOMEAN(P21:S21)+GEOMEAN(P22:S22))</f>
        <v>0.3511869046381858</v>
      </c>
    </row>
    <row r="21" spans="1:20" ht="21.95" customHeight="1" x14ac:dyDescent="0.25">
      <c r="A21" s="2" t="s">
        <v>36</v>
      </c>
      <c r="B21" s="13">
        <f>1/D19</f>
        <v>0.5</v>
      </c>
      <c r="C21" s="13">
        <f>1/D20</f>
        <v>0.5</v>
      </c>
      <c r="D21" s="13">
        <v>1</v>
      </c>
      <c r="E21" s="14">
        <v>2</v>
      </c>
      <c r="F21" s="8">
        <f>GEOMEAN(B21:E21)/(GEOMEAN(B19:E19)+GEOMEAN(B20:E20)+GEOMEAN(B21:E21)+GEOMEAN(B22:E22))</f>
        <v>0.18868744408718802</v>
      </c>
      <c r="H21" s="2" t="s">
        <v>36</v>
      </c>
      <c r="I21" s="13">
        <f>1/K19</f>
        <v>3</v>
      </c>
      <c r="J21" s="13">
        <f>1/K20</f>
        <v>1</v>
      </c>
      <c r="K21" s="13">
        <v>1</v>
      </c>
      <c r="L21" s="14">
        <v>2</v>
      </c>
      <c r="M21" s="8">
        <f>GEOMEAN(I21:L21)/(GEOMEAN(I19:L19)+GEOMEAN(I20:L20)+GEOMEAN(I21:L21)+GEOMEAN(I22:L22))</f>
        <v>0.35118690463818575</v>
      </c>
      <c r="O21" s="2" t="s">
        <v>36</v>
      </c>
      <c r="P21" s="13">
        <f>1/R19</f>
        <v>0.5</v>
      </c>
      <c r="Q21" s="13">
        <f>1/R20</f>
        <v>0.33333333333333331</v>
      </c>
      <c r="R21" s="13">
        <v>1</v>
      </c>
      <c r="S21" s="14">
        <f>1/3</f>
        <v>0.33333333333333331</v>
      </c>
      <c r="T21" s="8">
        <f>GEOMEAN(P21:S21)/(GEOMEAN(P19:S19)+GEOMEAN(P20:S20)+GEOMEAN(P21:S21)+GEOMEAN(P22:S22))</f>
        <v>0.10893874663644047</v>
      </c>
    </row>
    <row r="22" spans="1:20" ht="21.95" customHeight="1" x14ac:dyDescent="0.25">
      <c r="A22" s="2" t="s">
        <v>38</v>
      </c>
      <c r="B22" s="13">
        <f>1/E19</f>
        <v>0.33333333333333331</v>
      </c>
      <c r="C22" s="13">
        <f>1/E20</f>
        <v>0.33333333333333331</v>
      </c>
      <c r="D22" s="13">
        <f>1/E21</f>
        <v>0.5</v>
      </c>
      <c r="E22" s="13">
        <v>1</v>
      </c>
      <c r="F22" s="8">
        <f>GEOMEAN(B22:E22)/(GEOMEAN(B19:E19)+GEOMEAN(B20:E20)+GEOMEAN(B21:E21)+GEOMEAN(B22:E22))</f>
        <v>0.10893874663644047</v>
      </c>
      <c r="H22" s="2" t="s">
        <v>38</v>
      </c>
      <c r="I22" s="13">
        <f>1/L19</f>
        <v>2</v>
      </c>
      <c r="J22" s="13">
        <f>1/L20</f>
        <v>0.5</v>
      </c>
      <c r="K22" s="13">
        <f>1/L21</f>
        <v>0.5</v>
      </c>
      <c r="L22" s="13">
        <v>1</v>
      </c>
      <c r="M22" s="8">
        <f>GEOMEAN(I22:L22)/(GEOMEAN(I19:L19)+GEOMEAN(I20:L20)+GEOMEAN(I21:L21)+GEOMEAN(I22:L22))</f>
        <v>0.18868744408718799</v>
      </c>
      <c r="O22" s="2" t="s">
        <v>38</v>
      </c>
      <c r="P22" s="13">
        <f>1/S19</f>
        <v>2</v>
      </c>
      <c r="Q22" s="13">
        <f>1/S20</f>
        <v>1</v>
      </c>
      <c r="R22" s="13">
        <f>1/S21</f>
        <v>3</v>
      </c>
      <c r="S22" s="13">
        <v>1</v>
      </c>
      <c r="T22" s="8">
        <f>GEOMEAN(P22:S22)/(GEOMEAN(P19:S19)+GEOMEAN(P20:S20)+GEOMEAN(P21:S21)+GEOMEAN(P22:S22))</f>
        <v>0.3511869046381858</v>
      </c>
    </row>
    <row r="23" spans="1:20" ht="21.95" customHeight="1" x14ac:dyDescent="0.25">
      <c r="A23" s="2" t="s">
        <v>80</v>
      </c>
      <c r="B23" s="8">
        <f>SUM(B19:B22)*F19+SUM(C19:C22)*F20+SUM(D19:D22)*F21+SUM(E19:E22)*F22</f>
        <v>4.0082887884905514</v>
      </c>
      <c r="C23" s="2" t="s">
        <v>81</v>
      </c>
      <c r="D23" s="11">
        <f>(B23-4)/3/0.9</f>
        <v>3.0699216631671733E-3</v>
      </c>
      <c r="E23" s="27" t="str">
        <f>IF(D23&lt;0.1,"согласована","пересмотреть")</f>
        <v>согласована</v>
      </c>
      <c r="F23" s="27"/>
      <c r="H23" s="2" t="s">
        <v>80</v>
      </c>
      <c r="I23" s="8">
        <f>SUM(I19:I22)*M19+SUM(J19:J22)*M20+SUM(K19:K22)*M21+SUM(L19:L22)*M22</f>
        <v>4.0082887884905505</v>
      </c>
      <c r="J23" s="2" t="s">
        <v>81</v>
      </c>
      <c r="K23" s="11">
        <f>(I23-4)/3/0.9</f>
        <v>3.0699216631668446E-3</v>
      </c>
      <c r="L23" s="27" t="str">
        <f>IF(K23&lt;0.1,"согласована","пересмотреть")</f>
        <v>согласована</v>
      </c>
      <c r="M23" s="27"/>
      <c r="O23" s="2" t="s">
        <v>80</v>
      </c>
      <c r="P23" s="8">
        <f>SUM(P19:P22)*T19+SUM(Q19:Q22)*T20+SUM(R19:R22)*T21+SUM(S19:S22)*T22</f>
        <v>4.0082887884905514</v>
      </c>
      <c r="Q23" s="2" t="s">
        <v>81</v>
      </c>
      <c r="R23" s="11">
        <f>(P23-4)/3/0.9</f>
        <v>3.0699216631671733E-3</v>
      </c>
      <c r="S23" s="27" t="str">
        <f>IF(R23&lt;0.1,"согласована","пересмотреть")</f>
        <v>согласована</v>
      </c>
      <c r="T23" s="27"/>
    </row>
    <row r="24" spans="1:20" ht="21.95" customHeight="1" x14ac:dyDescent="0.25"/>
    <row r="25" spans="1:20" ht="21.95" customHeight="1" x14ac:dyDescent="0.25">
      <c r="A25" s="25" t="s">
        <v>85</v>
      </c>
      <c r="B25" s="25"/>
      <c r="C25" s="25"/>
      <c r="D25" s="25"/>
      <c r="E25" s="25"/>
      <c r="F25" s="25"/>
      <c r="H25" s="25" t="s">
        <v>86</v>
      </c>
      <c r="I25" s="25"/>
      <c r="J25" s="25"/>
      <c r="K25" s="25"/>
      <c r="L25" s="25"/>
      <c r="M25" s="25"/>
      <c r="O25" s="25" t="s">
        <v>87</v>
      </c>
      <c r="P25" s="25"/>
      <c r="Q25" s="25"/>
      <c r="R25" s="25"/>
      <c r="S25" s="25"/>
      <c r="T25" s="25"/>
    </row>
    <row r="26" spans="1:20" ht="21.95" customHeight="1" x14ac:dyDescent="0.25">
      <c r="A26" s="2" t="s">
        <v>65</v>
      </c>
      <c r="B26" s="2" t="s">
        <v>32</v>
      </c>
      <c r="C26" s="2" t="s">
        <v>34</v>
      </c>
      <c r="D26" s="2" t="s">
        <v>36</v>
      </c>
      <c r="E26" s="2" t="s">
        <v>38</v>
      </c>
      <c r="F26" s="2" t="s">
        <v>79</v>
      </c>
      <c r="H26" s="2" t="s">
        <v>65</v>
      </c>
      <c r="I26" s="2" t="s">
        <v>32</v>
      </c>
      <c r="J26" s="2" t="s">
        <v>34</v>
      </c>
      <c r="K26" s="2" t="s">
        <v>36</v>
      </c>
      <c r="L26" s="2" t="s">
        <v>38</v>
      </c>
      <c r="M26" s="2" t="s">
        <v>79</v>
      </c>
      <c r="O26" s="2" t="s">
        <v>65</v>
      </c>
      <c r="P26" s="2" t="s">
        <v>32</v>
      </c>
      <c r="Q26" s="2" t="s">
        <v>34</v>
      </c>
      <c r="R26" s="2" t="s">
        <v>36</v>
      </c>
      <c r="S26" s="2" t="s">
        <v>38</v>
      </c>
      <c r="T26" s="2" t="s">
        <v>79</v>
      </c>
    </row>
    <row r="27" spans="1:20" ht="21.95" customHeight="1" x14ac:dyDescent="0.25">
      <c r="A27" s="2" t="s">
        <v>32</v>
      </c>
      <c r="B27" s="13">
        <v>1</v>
      </c>
      <c r="C27" s="14">
        <f>1/2</f>
        <v>0.5</v>
      </c>
      <c r="D27" s="14">
        <v>1</v>
      </c>
      <c r="E27" s="14">
        <v>2</v>
      </c>
      <c r="F27" s="8">
        <f>GEOMEAN(B27:E27)/(GEOMEAN(B27:E27)+GEOMEAN(B28:E28)+GEOMEAN(B29:E29)+GEOMEAN(B30:E30))</f>
        <v>0.22735050780241758</v>
      </c>
      <c r="H27" s="2" t="s">
        <v>32</v>
      </c>
      <c r="I27" s="13">
        <v>1</v>
      </c>
      <c r="J27" s="14">
        <f>1/2</f>
        <v>0.5</v>
      </c>
      <c r="K27" s="14">
        <v>2</v>
      </c>
      <c r="L27" s="14">
        <v>4</v>
      </c>
      <c r="M27" s="8">
        <f>GEOMEAN(I27:L27)/(GEOMEAN(I27:L27)+GEOMEAN(I28:L28)+GEOMEAN(I29:L29)+GEOMEAN(I30:L30))</f>
        <v>0.28542515888449899</v>
      </c>
      <c r="O27" s="2" t="s">
        <v>32</v>
      </c>
      <c r="P27" s="13">
        <v>1</v>
      </c>
      <c r="Q27" s="14">
        <v>4</v>
      </c>
      <c r="R27" s="14">
        <v>1</v>
      </c>
      <c r="S27" s="14">
        <v>5</v>
      </c>
      <c r="T27" s="8">
        <f>GEOMEAN(P27:S27)/(GEOMEAN(P27:S27)+GEOMEAN(P28:S28)+GEOMEAN(P29:S29)+GEOMEAN(P30:S30))</f>
        <v>0.40666960873274549</v>
      </c>
    </row>
    <row r="28" spans="1:20" ht="21.95" customHeight="1" x14ac:dyDescent="0.25">
      <c r="A28" s="2" t="s">
        <v>34</v>
      </c>
      <c r="B28" s="13">
        <f>1/C27</f>
        <v>2</v>
      </c>
      <c r="C28" s="13">
        <v>1</v>
      </c>
      <c r="D28" s="14">
        <v>2</v>
      </c>
      <c r="E28" s="14">
        <v>3</v>
      </c>
      <c r="F28" s="8">
        <f>GEOMEAN(B28:E28)/(GEOMEAN(B27:E27)+GEOMEAN(B28:E28)+GEOMEAN(B29:E29)+GEOMEAN(B30:E30))</f>
        <v>0.4231469745605192</v>
      </c>
      <c r="H28" s="2" t="s">
        <v>34</v>
      </c>
      <c r="I28" s="13">
        <f>1/J27</f>
        <v>2</v>
      </c>
      <c r="J28" s="13">
        <v>1</v>
      </c>
      <c r="K28" s="14">
        <v>3</v>
      </c>
      <c r="L28" s="14">
        <v>5</v>
      </c>
      <c r="M28" s="8">
        <f>GEOMEAN(I28:L28)/(GEOMEAN(I27:L27)+GEOMEAN(I28:L28)+GEOMEAN(I29:L29)+GEOMEAN(I30:L30))</f>
        <v>0.47234309105416278</v>
      </c>
      <c r="O28" s="2" t="s">
        <v>34</v>
      </c>
      <c r="P28" s="13">
        <f>1/Q27</f>
        <v>0.25</v>
      </c>
      <c r="Q28" s="13">
        <v>1</v>
      </c>
      <c r="R28" s="14">
        <f>1/4</f>
        <v>0.25</v>
      </c>
      <c r="S28" s="14">
        <v>2</v>
      </c>
      <c r="T28" s="8">
        <f>GEOMEAN(P28:S28)/(GEOMEAN(P27:S27)+GEOMEAN(P28:S28)+GEOMEAN(P29:S29)+GEOMEAN(P30:S30))</f>
        <v>0.11434356334470643</v>
      </c>
    </row>
    <row r="29" spans="1:20" ht="21.95" customHeight="1" x14ac:dyDescent="0.25">
      <c r="A29" s="2" t="s">
        <v>36</v>
      </c>
      <c r="B29" s="13">
        <f>1/D27</f>
        <v>1</v>
      </c>
      <c r="C29" s="13">
        <f>1/D28</f>
        <v>0.5</v>
      </c>
      <c r="D29" s="13">
        <v>1</v>
      </c>
      <c r="E29" s="14">
        <v>2</v>
      </c>
      <c r="F29" s="8">
        <f>GEOMEAN(B29:E29)/(GEOMEAN(B27:E27)+GEOMEAN(B28:E28)+GEOMEAN(B29:E29)+GEOMEAN(B30:E30))</f>
        <v>0.22735050780241758</v>
      </c>
      <c r="H29" s="2" t="s">
        <v>36</v>
      </c>
      <c r="I29" s="13">
        <f>1/K27</f>
        <v>0.5</v>
      </c>
      <c r="J29" s="13">
        <f>1/K28</f>
        <v>0.33333333333333331</v>
      </c>
      <c r="K29" s="13">
        <v>1</v>
      </c>
      <c r="L29" s="14">
        <v>3</v>
      </c>
      <c r="M29" s="8">
        <f>GEOMEAN(I29:L29)/(GEOMEAN(I27:L27)+GEOMEAN(I28:L28)+GEOMEAN(I29:L29)+GEOMEAN(I30:L30))</f>
        <v>0.16971481487311418</v>
      </c>
      <c r="O29" s="2" t="s">
        <v>36</v>
      </c>
      <c r="P29" s="13">
        <f>1/R27</f>
        <v>1</v>
      </c>
      <c r="Q29" s="13">
        <f>1/R28</f>
        <v>4</v>
      </c>
      <c r="R29" s="13">
        <v>1</v>
      </c>
      <c r="S29" s="14">
        <v>5</v>
      </c>
      <c r="T29" s="8">
        <f>GEOMEAN(P29:S29)/(GEOMEAN(P27:S27)+GEOMEAN(P28:S28)+GEOMEAN(P29:S29)+GEOMEAN(P30:S30))</f>
        <v>0.40666960873274549</v>
      </c>
    </row>
    <row r="30" spans="1:20" ht="21.95" customHeight="1" x14ac:dyDescent="0.25">
      <c r="A30" s="2" t="s">
        <v>38</v>
      </c>
      <c r="B30" s="13">
        <f>1/E27</f>
        <v>0.5</v>
      </c>
      <c r="C30" s="13">
        <f>1/E28</f>
        <v>0.33333333333333331</v>
      </c>
      <c r="D30" s="13">
        <f>1/E29</f>
        <v>0.5</v>
      </c>
      <c r="E30" s="13">
        <v>1</v>
      </c>
      <c r="F30" s="8">
        <f>GEOMEAN(B30:E30)/(GEOMEAN(B27:E27)+GEOMEAN(B28:E28)+GEOMEAN(B29:E29)+GEOMEAN(B30:E30))</f>
        <v>0.12215200983464576</v>
      </c>
      <c r="H30" s="2" t="s">
        <v>38</v>
      </c>
      <c r="I30" s="13">
        <f>1/L27</f>
        <v>0.25</v>
      </c>
      <c r="J30" s="13">
        <f>1/L28</f>
        <v>0.2</v>
      </c>
      <c r="K30" s="13">
        <f>1/L29</f>
        <v>0.33333333333333331</v>
      </c>
      <c r="L30" s="13">
        <v>1</v>
      </c>
      <c r="M30" s="8">
        <f>GEOMEAN(I30:L30)/(GEOMEAN(I27:L27)+GEOMEAN(I28:L28)+GEOMEAN(I29:L29)+GEOMEAN(I30:L30))</f>
        <v>7.251693518822401E-2</v>
      </c>
      <c r="O30" s="2" t="s">
        <v>38</v>
      </c>
      <c r="P30" s="13">
        <f>1/S27</f>
        <v>0.2</v>
      </c>
      <c r="Q30" s="13">
        <f>1/S28</f>
        <v>0.5</v>
      </c>
      <c r="R30" s="13">
        <f>1/S29</f>
        <v>0.2</v>
      </c>
      <c r="S30" s="13">
        <v>1</v>
      </c>
      <c r="T30" s="8">
        <f>GEOMEAN(P30:S30)/(GEOMEAN(P27:S27)+GEOMEAN(P28:S28)+GEOMEAN(P29:S29)+GEOMEAN(P30:S30))</f>
        <v>7.231721918980262E-2</v>
      </c>
    </row>
    <row r="31" spans="1:20" ht="21.95" customHeight="1" x14ac:dyDescent="0.25">
      <c r="A31" s="2" t="s">
        <v>80</v>
      </c>
      <c r="B31" s="8">
        <f>SUM(B27:B30)*F27+SUM(C27:C30)*F28+SUM(D27:D30)*F29+SUM(E27:E30)*F30</f>
        <v>4.0107135895401358</v>
      </c>
      <c r="C31" s="2" t="s">
        <v>81</v>
      </c>
      <c r="D31" s="11">
        <f>(B31-4)/3/0.9</f>
        <v>3.9679961259762196E-3</v>
      </c>
      <c r="E31" s="27" t="str">
        <f>IF(D31&lt;0.1,"согласована","пересмотреть")</f>
        <v>согласована</v>
      </c>
      <c r="F31" s="27"/>
      <c r="H31" s="2" t="s">
        <v>80</v>
      </c>
      <c r="I31" s="8">
        <f>SUM(I27:I30)*M27+SUM(J27:J30)*M28+SUM(K27:K30)*M29+SUM(L27:L30)*M30</f>
        <v>4.0483559492703041</v>
      </c>
      <c r="J31" s="2" t="s">
        <v>81</v>
      </c>
      <c r="K31" s="11">
        <f>(I31-4)/3/0.9</f>
        <v>1.7909610840853359E-2</v>
      </c>
      <c r="L31" s="27" t="str">
        <f>IF(K31&lt;0.1,"согласована","пересмотреть")</f>
        <v>согласована</v>
      </c>
      <c r="M31" s="27"/>
      <c r="O31" s="2" t="s">
        <v>80</v>
      </c>
      <c r="P31" s="8">
        <f>SUM(P27:P30)*T27+SUM(Q27:Q30)*T28+SUM(R27:R30)*T29+SUM(S27:S30)*T30</f>
        <v>4.0190687840325978</v>
      </c>
      <c r="Q31" s="2" t="s">
        <v>81</v>
      </c>
      <c r="R31" s="11">
        <f>(P31-4)/3/0.9</f>
        <v>7.0625126046658581E-3</v>
      </c>
      <c r="S31" s="27" t="str">
        <f>IF(R31&lt;0.1,"согласована","пересмотреть")</f>
        <v>согласована</v>
      </c>
      <c r="T31" s="27"/>
    </row>
    <row r="32" spans="1:20" ht="21.95" customHeight="1" x14ac:dyDescent="0.25"/>
    <row r="33" spans="1:20" ht="21.95" customHeight="1" x14ac:dyDescent="0.25"/>
    <row r="34" spans="1:20" ht="21.95" customHeight="1" x14ac:dyDescent="0.25">
      <c r="A34" s="26" t="s">
        <v>88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 spans="1:20" ht="21.95" customHeight="1" x14ac:dyDescent="0.25">
      <c r="A35" s="25" t="s">
        <v>78</v>
      </c>
      <c r="B35" s="25"/>
      <c r="C35" s="25"/>
      <c r="D35" s="25"/>
      <c r="E35" s="25"/>
      <c r="F35" s="25"/>
      <c r="G35" s="25"/>
      <c r="H35" s="25"/>
    </row>
    <row r="36" spans="1:20" ht="21.95" customHeight="1" x14ac:dyDescent="0.25">
      <c r="A36" s="2" t="s">
        <v>65</v>
      </c>
      <c r="B36" s="2" t="s">
        <v>15</v>
      </c>
      <c r="C36" s="2" t="s">
        <v>18</v>
      </c>
      <c r="D36" s="2" t="s">
        <v>21</v>
      </c>
      <c r="E36" s="2" t="s">
        <v>23</v>
      </c>
      <c r="F36" s="2" t="s">
        <v>25</v>
      </c>
      <c r="G36" s="2" t="s">
        <v>27</v>
      </c>
      <c r="H36" s="2" t="s">
        <v>79</v>
      </c>
    </row>
    <row r="37" spans="1:20" ht="21.95" customHeight="1" x14ac:dyDescent="0.25">
      <c r="A37" s="2" t="s">
        <v>15</v>
      </c>
      <c r="B37" s="13">
        <v>1</v>
      </c>
      <c r="C37" s="14">
        <f>1/3</f>
        <v>0.33333333333333331</v>
      </c>
      <c r="D37" s="14">
        <v>4</v>
      </c>
      <c r="E37" s="14">
        <v>3</v>
      </c>
      <c r="F37" s="14">
        <v>3</v>
      </c>
      <c r="G37" s="14">
        <v>1</v>
      </c>
      <c r="H37" s="8">
        <f>GEOMEAN(B37:G37)/(GEOMEAN(B37:G37)+GEOMEAN(B38:G38)+GEOMEAN(B39:G39)+GEOMEAN(B40:G40)+GEOMEAN(B41:G41)+GEOMEAN(B42:G42))</f>
        <v>0.19503141543070421</v>
      </c>
    </row>
    <row r="38" spans="1:20" ht="21.95" customHeight="1" x14ac:dyDescent="0.25">
      <c r="A38" s="2" t="s">
        <v>18</v>
      </c>
      <c r="B38" s="13">
        <f>1/C37</f>
        <v>3</v>
      </c>
      <c r="C38" s="13">
        <v>1</v>
      </c>
      <c r="D38" s="14">
        <v>6</v>
      </c>
      <c r="E38" s="14">
        <v>4</v>
      </c>
      <c r="F38" s="14">
        <v>4</v>
      </c>
      <c r="G38" s="14">
        <v>3</v>
      </c>
      <c r="H38" s="8">
        <f>GEOMEAN(B38:G38)/(GEOMEAN(B37:G37)+GEOMEAN(B38:G38)+GEOMEAN(B39:G39)+GEOMEAN(B40:G40)+GEOMEAN(B41:G41)+GEOMEAN(B42:G42))</f>
        <v>0.3977956124665859</v>
      </c>
    </row>
    <row r="39" spans="1:20" ht="21.95" customHeight="1" x14ac:dyDescent="0.25">
      <c r="A39" s="2" t="s">
        <v>21</v>
      </c>
      <c r="B39" s="13">
        <f>1/D37</f>
        <v>0.25</v>
      </c>
      <c r="C39" s="13">
        <f>1/D38</f>
        <v>0.16666666666666666</v>
      </c>
      <c r="D39" s="13">
        <v>1</v>
      </c>
      <c r="E39" s="14">
        <f>1/3</f>
        <v>0.33333333333333331</v>
      </c>
      <c r="F39" s="14">
        <f>1/3</f>
        <v>0.33333333333333331</v>
      </c>
      <c r="G39" s="14">
        <f>1/4</f>
        <v>0.25</v>
      </c>
      <c r="H39" s="8">
        <f>GEOMEAN(B39:G39)/(GEOMEAN(B37:G37)+GEOMEAN(B38:G38)+GEOMEAN(B39:G39)+GEOMEAN(B40:G40)+GEOMEAN(B41:G41)+GEOMEAN(B42:G42))</f>
        <v>4.176592214187292E-2</v>
      </c>
    </row>
    <row r="40" spans="1:20" ht="21.95" customHeight="1" x14ac:dyDescent="0.25">
      <c r="A40" s="2" t="s">
        <v>23</v>
      </c>
      <c r="B40" s="13">
        <f>1/E37</f>
        <v>0.33333333333333331</v>
      </c>
      <c r="C40" s="13">
        <f>1/E38</f>
        <v>0.25</v>
      </c>
      <c r="D40" s="13">
        <f>1/E39</f>
        <v>3</v>
      </c>
      <c r="E40" s="13">
        <v>1</v>
      </c>
      <c r="F40" s="14">
        <v>1</v>
      </c>
      <c r="G40" s="14">
        <f>1/3</f>
        <v>0.33333333333333331</v>
      </c>
      <c r="H40" s="8">
        <f>GEOMEAN(B40:G40)/(GEOMEAN(B37:G37)+GEOMEAN(B38:G38)+GEOMEAN(B39:G39)+GEOMEAN(B40:G40)+GEOMEAN(B41:G41)+GEOMEAN(B42:G42))</f>
        <v>8.5187817265066385E-2</v>
      </c>
    </row>
    <row r="41" spans="1:20" ht="21.95" customHeight="1" x14ac:dyDescent="0.25">
      <c r="A41" s="2" t="s">
        <v>25</v>
      </c>
      <c r="B41" s="13">
        <f>1/F37</f>
        <v>0.33333333333333331</v>
      </c>
      <c r="C41" s="13">
        <f>1/F38</f>
        <v>0.25</v>
      </c>
      <c r="D41" s="13">
        <f>1/F39</f>
        <v>3</v>
      </c>
      <c r="E41" s="13">
        <f>1/F40</f>
        <v>1</v>
      </c>
      <c r="F41" s="13">
        <v>1</v>
      </c>
      <c r="G41" s="14">
        <f>1/3</f>
        <v>0.33333333333333331</v>
      </c>
      <c r="H41" s="8">
        <f>GEOMEAN(B41:G41)/(GEOMEAN(B37:G37)+GEOMEAN(B38:G38)+GEOMEAN(B39:G39)+GEOMEAN(B40:G40)+GEOMEAN(B41:G41)+GEOMEAN(B42:G42))</f>
        <v>8.5187817265066385E-2</v>
      </c>
    </row>
    <row r="42" spans="1:20" ht="21.95" customHeight="1" x14ac:dyDescent="0.25">
      <c r="A42" s="2" t="s">
        <v>27</v>
      </c>
      <c r="B42" s="13">
        <f>1/G37</f>
        <v>1</v>
      </c>
      <c r="C42" s="13">
        <f>1/G38</f>
        <v>0.33333333333333331</v>
      </c>
      <c r="D42" s="13">
        <f>1/G39</f>
        <v>4</v>
      </c>
      <c r="E42" s="13">
        <f>1/G40</f>
        <v>3</v>
      </c>
      <c r="F42" s="13">
        <f>1/G41</f>
        <v>3</v>
      </c>
      <c r="G42" s="13">
        <v>1</v>
      </c>
      <c r="H42" s="8">
        <f>GEOMEAN(B42:G42)/(GEOMEAN(B37:G37)+GEOMEAN(B38:G38)+GEOMEAN(B39:G39)+GEOMEAN(B40:G40)+GEOMEAN(B41:G41)+GEOMEAN(B42:G42))</f>
        <v>0.19503141543070421</v>
      </c>
    </row>
    <row r="43" spans="1:20" ht="21.95" customHeight="1" x14ac:dyDescent="0.25">
      <c r="A43" s="2" t="s">
        <v>80</v>
      </c>
      <c r="B43" s="8">
        <f>SUM(B37:B42)*H37+SUM(C37:C42)*H38+SUM(D37:D42)*H39+SUM(E37:E42)*H40+SUM(F37:F42)*H41+SUM(G37:G42)*H42</f>
        <v>6.2144453692030019</v>
      </c>
      <c r="C43" s="2" t="s">
        <v>81</v>
      </c>
      <c r="D43" s="11">
        <f>(B43-6)/5/1.24</f>
        <v>3.4587962774677732E-2</v>
      </c>
      <c r="E43" s="27" t="str">
        <f>IF(D43&lt;0.1,"согласована","пересмотреть")</f>
        <v>согласована</v>
      </c>
      <c r="F43" s="27"/>
      <c r="G43" s="27"/>
      <c r="H43" s="27"/>
    </row>
    <row r="44" spans="1:20" ht="21.95" customHeight="1" x14ac:dyDescent="0.25"/>
    <row r="45" spans="1:20" ht="21.95" customHeight="1" x14ac:dyDescent="0.25">
      <c r="A45" s="25" t="s">
        <v>82</v>
      </c>
      <c r="B45" s="25"/>
      <c r="C45" s="25"/>
      <c r="D45" s="25"/>
      <c r="E45" s="25"/>
      <c r="F45" s="25"/>
      <c r="H45" s="25" t="s">
        <v>83</v>
      </c>
      <c r="I45" s="25"/>
      <c r="J45" s="25"/>
      <c r="K45" s="25"/>
      <c r="L45" s="25"/>
      <c r="M45" s="25"/>
      <c r="O45" s="25" t="s">
        <v>84</v>
      </c>
      <c r="P45" s="25"/>
      <c r="Q45" s="25"/>
      <c r="R45" s="25"/>
      <c r="S45" s="25"/>
      <c r="T45" s="25"/>
    </row>
    <row r="46" spans="1:20" ht="21.95" customHeight="1" x14ac:dyDescent="0.25">
      <c r="A46" s="2" t="s">
        <v>65</v>
      </c>
      <c r="B46" s="2" t="s">
        <v>32</v>
      </c>
      <c r="C46" s="2" t="s">
        <v>34</v>
      </c>
      <c r="D46" s="2" t="s">
        <v>36</v>
      </c>
      <c r="E46" s="2" t="s">
        <v>38</v>
      </c>
      <c r="F46" s="2" t="s">
        <v>79</v>
      </c>
      <c r="H46" s="2" t="s">
        <v>65</v>
      </c>
      <c r="I46" s="2" t="s">
        <v>32</v>
      </c>
      <c r="J46" s="2" t="s">
        <v>34</v>
      </c>
      <c r="K46" s="2" t="s">
        <v>36</v>
      </c>
      <c r="L46" s="2" t="s">
        <v>38</v>
      </c>
      <c r="M46" s="2" t="s">
        <v>79</v>
      </c>
      <c r="O46" s="2" t="s">
        <v>65</v>
      </c>
      <c r="P46" s="2" t="s">
        <v>32</v>
      </c>
      <c r="Q46" s="2" t="s">
        <v>34</v>
      </c>
      <c r="R46" s="2" t="s">
        <v>36</v>
      </c>
      <c r="S46" s="2" t="s">
        <v>38</v>
      </c>
      <c r="T46" s="2" t="s">
        <v>79</v>
      </c>
    </row>
    <row r="47" spans="1:20" ht="21.95" customHeight="1" x14ac:dyDescent="0.25">
      <c r="A47" s="2" t="s">
        <v>32</v>
      </c>
      <c r="B47" s="13">
        <v>1</v>
      </c>
      <c r="C47" s="14">
        <f>1/3</f>
        <v>0.33333333333333331</v>
      </c>
      <c r="D47" s="14">
        <v>1</v>
      </c>
      <c r="E47" s="14">
        <v>4</v>
      </c>
      <c r="F47" s="8">
        <f>GEOMEAN(B47:E47)/(GEOMEAN(B47:E47)+GEOMEAN(B48:E48)+GEOMEAN(B49:E49)+GEOMEAN(B50:E50))</f>
        <v>0.20746926600372279</v>
      </c>
      <c r="H47" s="2" t="s">
        <v>32</v>
      </c>
      <c r="I47" s="13">
        <v>1</v>
      </c>
      <c r="J47" s="14">
        <f>1/6</f>
        <v>0.16666666666666666</v>
      </c>
      <c r="K47" s="14">
        <f>1/4</f>
        <v>0.25</v>
      </c>
      <c r="L47" s="14">
        <f>1/4</f>
        <v>0.25</v>
      </c>
      <c r="M47" s="8">
        <f>GEOMEAN(I47:L47)/(GEOMEAN(I47:L47)+GEOMEAN(I48:L48)+GEOMEAN(I49:L49)+GEOMEAN(I50:L50))</f>
        <v>6.1680981819004825E-2</v>
      </c>
      <c r="O47" s="2" t="s">
        <v>32</v>
      </c>
      <c r="P47" s="13">
        <v>1</v>
      </c>
      <c r="Q47" s="14">
        <f>1/3</f>
        <v>0.33333333333333331</v>
      </c>
      <c r="R47" s="14">
        <v>3</v>
      </c>
      <c r="S47" s="14">
        <v>1</v>
      </c>
      <c r="T47" s="8">
        <f>GEOMEAN(P47:S47)/(GEOMEAN(P47:S47)+GEOMEAN(P48:S48)+GEOMEAN(P49:S49)+GEOMEAN(P50:S50))</f>
        <v>0.20585712797928987</v>
      </c>
    </row>
    <row r="48" spans="1:20" ht="21.95" customHeight="1" x14ac:dyDescent="0.25">
      <c r="A48" s="2" t="s">
        <v>34</v>
      </c>
      <c r="B48" s="13">
        <f>1/C47</f>
        <v>3</v>
      </c>
      <c r="C48" s="13">
        <v>1</v>
      </c>
      <c r="D48" s="14">
        <v>3</v>
      </c>
      <c r="E48" s="14">
        <v>6</v>
      </c>
      <c r="F48" s="8">
        <f>GEOMEAN(B48:E48)/(GEOMEAN(B47:E47)+GEOMEAN(B48:E48)+GEOMEAN(B49:E49)+GEOMEAN(B50:E50))</f>
        <v>0.52338048617354949</v>
      </c>
      <c r="H48" s="2" t="s">
        <v>34</v>
      </c>
      <c r="I48" s="13">
        <f>1/J47</f>
        <v>6</v>
      </c>
      <c r="J48" s="13">
        <v>1</v>
      </c>
      <c r="K48" s="14">
        <v>3</v>
      </c>
      <c r="L48" s="14">
        <v>3</v>
      </c>
      <c r="M48" s="8">
        <f>GEOMEAN(I48:L48)/(GEOMEAN(I47:L47)+GEOMEAN(I48:L48)+GEOMEAN(I49:L49)+GEOMEAN(I50:L50))</f>
        <v>0.5233804861735496</v>
      </c>
      <c r="O48" s="2" t="s">
        <v>34</v>
      </c>
      <c r="P48" s="13">
        <f>1/Q47</f>
        <v>3</v>
      </c>
      <c r="Q48" s="13">
        <v>1</v>
      </c>
      <c r="R48" s="14">
        <v>4</v>
      </c>
      <c r="S48" s="14">
        <v>3</v>
      </c>
      <c r="T48" s="8">
        <f>GEOMEAN(P48:S48)/(GEOMEAN(P47:S47)+GEOMEAN(P48:S48)+GEOMEAN(P49:S49)+GEOMEAN(P50:S50))</f>
        <v>0.50424492346407446</v>
      </c>
    </row>
    <row r="49" spans="1:20" ht="21.95" customHeight="1" x14ac:dyDescent="0.25">
      <c r="A49" s="2" t="s">
        <v>36</v>
      </c>
      <c r="B49" s="13">
        <f>1/D47</f>
        <v>1</v>
      </c>
      <c r="C49" s="13">
        <f>1/D48</f>
        <v>0.33333333333333331</v>
      </c>
      <c r="D49" s="13">
        <v>1</v>
      </c>
      <c r="E49" s="14">
        <v>4</v>
      </c>
      <c r="F49" s="8">
        <f>GEOMEAN(B49:E49)/(GEOMEAN(B47:E47)+GEOMEAN(B48:E48)+GEOMEAN(B49:E49)+GEOMEAN(B50:E50))</f>
        <v>0.20746926600372279</v>
      </c>
      <c r="H49" s="2" t="s">
        <v>36</v>
      </c>
      <c r="I49" s="13">
        <f>1/K47</f>
        <v>4</v>
      </c>
      <c r="J49" s="13">
        <f>1/K48</f>
        <v>0.33333333333333331</v>
      </c>
      <c r="K49" s="13">
        <v>1</v>
      </c>
      <c r="L49" s="14">
        <v>1</v>
      </c>
      <c r="M49" s="8">
        <f>GEOMEAN(I49:L49)/(GEOMEAN(I47:L47)+GEOMEAN(I48:L48)+GEOMEAN(I49:L49)+GEOMEAN(I50:L50))</f>
        <v>0.20746926600372281</v>
      </c>
      <c r="O49" s="2" t="s">
        <v>36</v>
      </c>
      <c r="P49" s="13">
        <f>1/R47</f>
        <v>0.33333333333333331</v>
      </c>
      <c r="Q49" s="13">
        <f>1/R48</f>
        <v>0.25</v>
      </c>
      <c r="R49" s="13">
        <v>1</v>
      </c>
      <c r="S49" s="14">
        <f>1/3</f>
        <v>0.33333333333333331</v>
      </c>
      <c r="T49" s="8">
        <f>GEOMEAN(P49:S49)/(GEOMEAN(P47:S47)+GEOMEAN(P48:S48)+GEOMEAN(P49:S49)+GEOMEAN(P50:S50))</f>
        <v>8.4040820577345757E-2</v>
      </c>
    </row>
    <row r="50" spans="1:20" ht="21.95" customHeight="1" x14ac:dyDescent="0.25">
      <c r="A50" s="2" t="s">
        <v>38</v>
      </c>
      <c r="B50" s="13">
        <f>1/E47</f>
        <v>0.25</v>
      </c>
      <c r="C50" s="13">
        <f>1/E48</f>
        <v>0.16666666666666666</v>
      </c>
      <c r="D50" s="13">
        <f>1/E49</f>
        <v>0.25</v>
      </c>
      <c r="E50" s="13">
        <v>1</v>
      </c>
      <c r="F50" s="8">
        <f>GEOMEAN(B50:E50)/(GEOMEAN(B47:E47)+GEOMEAN(B48:E48)+GEOMEAN(B49:E49)+GEOMEAN(B50:E50))</f>
        <v>6.1680981819004811E-2</v>
      </c>
      <c r="H50" s="2" t="s">
        <v>38</v>
      </c>
      <c r="I50" s="13">
        <f>1/L47</f>
        <v>4</v>
      </c>
      <c r="J50" s="13">
        <f>1/L48</f>
        <v>0.33333333333333331</v>
      </c>
      <c r="K50" s="13">
        <f>1/L49</f>
        <v>1</v>
      </c>
      <c r="L50" s="13">
        <v>1</v>
      </c>
      <c r="M50" s="8">
        <f>GEOMEAN(I50:L50)/(GEOMEAN(I47:L47)+GEOMEAN(I48:L48)+GEOMEAN(I49:L49)+GEOMEAN(I50:L50))</f>
        <v>0.20746926600372281</v>
      </c>
      <c r="O50" s="2" t="s">
        <v>38</v>
      </c>
      <c r="P50" s="13">
        <f>1/S47</f>
        <v>1</v>
      </c>
      <c r="Q50" s="13">
        <f>1/S48</f>
        <v>0.33333333333333331</v>
      </c>
      <c r="R50" s="13">
        <f>1/S49</f>
        <v>3</v>
      </c>
      <c r="S50" s="13">
        <v>1</v>
      </c>
      <c r="T50" s="8">
        <f>GEOMEAN(P50:S50)/(GEOMEAN(P47:S47)+GEOMEAN(P48:S48)+GEOMEAN(P49:S49)+GEOMEAN(P50:S50))</f>
        <v>0.20585712797928987</v>
      </c>
    </row>
    <row r="51" spans="1:20" ht="21.95" customHeight="1" x14ac:dyDescent="0.25">
      <c r="A51" s="2" t="s">
        <v>80</v>
      </c>
      <c r="B51" s="8">
        <f>SUM(B47:B50)*F47+SUM(C47:C50)*F48+SUM(D47:D50)*F49+SUM(E47:E50)*F50</f>
        <v>4.0631729116423347</v>
      </c>
      <c r="C51" s="2" t="s">
        <v>81</v>
      </c>
      <c r="D51" s="11">
        <f>(B51-4)/3/0.9</f>
        <v>2.3397374682346199E-2</v>
      </c>
      <c r="E51" s="27" t="str">
        <f>IF(D51&lt;0.1,"согласована","пересмотреть")</f>
        <v>согласована</v>
      </c>
      <c r="F51" s="27"/>
      <c r="H51" s="2" t="s">
        <v>80</v>
      </c>
      <c r="I51" s="8">
        <f>SUM(I47:I50)*M47+SUM(J47:J50)*M48+SUM(K47:K50)*M49+SUM(L47:L50)*M50</f>
        <v>4.0631729116423356</v>
      </c>
      <c r="J51" s="2" t="s">
        <v>81</v>
      </c>
      <c r="K51" s="11">
        <f>(I51-4)/3/0.9</f>
        <v>2.3397374682346529E-2</v>
      </c>
      <c r="L51" s="27" t="str">
        <f>IF(K51&lt;0.1,"согласована","пересмотреть")</f>
        <v>согласована</v>
      </c>
      <c r="M51" s="27"/>
      <c r="O51" s="2" t="s">
        <v>80</v>
      </c>
      <c r="P51" s="8">
        <f>SUM(P47:P50)*T47+SUM(Q47:Q50)*T48+SUM(R47:R50)*T49+SUM(S47:S50)*T50</f>
        <v>4.0867278281027044</v>
      </c>
      <c r="Q51" s="2" t="s">
        <v>81</v>
      </c>
      <c r="R51" s="11">
        <f>(P51-4)/3/0.9</f>
        <v>3.2121417815816448E-2</v>
      </c>
      <c r="S51" s="27" t="str">
        <f>IF(R51&lt;0.1,"согласована","пересмотреть")</f>
        <v>согласована</v>
      </c>
      <c r="T51" s="27"/>
    </row>
    <row r="52" spans="1:20" ht="21.95" customHeight="1" x14ac:dyDescent="0.25"/>
    <row r="53" spans="1:20" ht="21.95" customHeight="1" x14ac:dyDescent="0.25">
      <c r="A53" s="25" t="s">
        <v>85</v>
      </c>
      <c r="B53" s="25"/>
      <c r="C53" s="25"/>
      <c r="D53" s="25"/>
      <c r="E53" s="25"/>
      <c r="F53" s="25"/>
      <c r="H53" s="25" t="s">
        <v>86</v>
      </c>
      <c r="I53" s="25"/>
      <c r="J53" s="25"/>
      <c r="K53" s="25"/>
      <c r="L53" s="25"/>
      <c r="M53" s="25"/>
      <c r="O53" s="25" t="s">
        <v>87</v>
      </c>
      <c r="P53" s="25"/>
      <c r="Q53" s="25"/>
      <c r="R53" s="25"/>
      <c r="S53" s="25"/>
      <c r="T53" s="25"/>
    </row>
    <row r="54" spans="1:20" ht="21.95" customHeight="1" x14ac:dyDescent="0.25">
      <c r="A54" s="2" t="s">
        <v>65</v>
      </c>
      <c r="B54" s="2" t="s">
        <v>32</v>
      </c>
      <c r="C54" s="2" t="s">
        <v>34</v>
      </c>
      <c r="D54" s="2" t="s">
        <v>36</v>
      </c>
      <c r="E54" s="2" t="s">
        <v>38</v>
      </c>
      <c r="F54" s="2" t="s">
        <v>79</v>
      </c>
      <c r="H54" s="2" t="s">
        <v>65</v>
      </c>
      <c r="I54" s="2" t="s">
        <v>32</v>
      </c>
      <c r="J54" s="2" t="s">
        <v>34</v>
      </c>
      <c r="K54" s="2" t="s">
        <v>36</v>
      </c>
      <c r="L54" s="2" t="s">
        <v>38</v>
      </c>
      <c r="M54" s="2" t="s">
        <v>79</v>
      </c>
      <c r="O54" s="2" t="s">
        <v>65</v>
      </c>
      <c r="P54" s="2" t="s">
        <v>32</v>
      </c>
      <c r="Q54" s="2" t="s">
        <v>34</v>
      </c>
      <c r="R54" s="2" t="s">
        <v>36</v>
      </c>
      <c r="S54" s="2" t="s">
        <v>38</v>
      </c>
      <c r="T54" s="2" t="s">
        <v>79</v>
      </c>
    </row>
    <row r="55" spans="1:20" ht="21.95" customHeight="1" x14ac:dyDescent="0.25">
      <c r="A55" s="2" t="s">
        <v>32</v>
      </c>
      <c r="B55" s="13">
        <v>1</v>
      </c>
      <c r="C55" s="14">
        <f>1/3</f>
        <v>0.33333333333333331</v>
      </c>
      <c r="D55" s="14">
        <f>1/3</f>
        <v>0.33333333333333331</v>
      </c>
      <c r="E55" s="14">
        <v>3</v>
      </c>
      <c r="F55" s="8">
        <f>GEOMEAN(B55:E55)/(GEOMEAN(B55:E55)+GEOMEAN(B56:E56)+GEOMEAN(B57:E57)+GEOMEAN(B58:E58))</f>
        <v>0.15627491887661407</v>
      </c>
      <c r="H55" s="2" t="s">
        <v>32</v>
      </c>
      <c r="I55" s="13">
        <v>1</v>
      </c>
      <c r="J55" s="14">
        <f>1/3</f>
        <v>0.33333333333333331</v>
      </c>
      <c r="K55" s="14">
        <v>3</v>
      </c>
      <c r="L55" s="14">
        <v>6</v>
      </c>
      <c r="M55" s="8">
        <f>GEOMEAN(I55:L55)/(GEOMEAN(I55:L55)+GEOMEAN(I56:L56)+GEOMEAN(I57:L57)+GEOMEAN(I58:L58))</f>
        <v>0.27798609401040447</v>
      </c>
      <c r="O55" s="2" t="s">
        <v>32</v>
      </c>
      <c r="P55" s="13">
        <v>1</v>
      </c>
      <c r="Q55" s="14">
        <v>7</v>
      </c>
      <c r="R55" s="14">
        <v>3</v>
      </c>
      <c r="S55" s="14">
        <v>9</v>
      </c>
      <c r="T55" s="8">
        <f>GEOMEAN(P55:S55)/(GEOMEAN(P55:S55)+GEOMEAN(P56:S56)+GEOMEAN(P57:S57)+GEOMEAN(P58:S58))</f>
        <v>0.57674684539417842</v>
      </c>
    </row>
    <row r="56" spans="1:20" ht="21.95" customHeight="1" x14ac:dyDescent="0.25">
      <c r="A56" s="2" t="s">
        <v>34</v>
      </c>
      <c r="B56" s="13">
        <f>1/C55</f>
        <v>3</v>
      </c>
      <c r="C56" s="13">
        <v>1</v>
      </c>
      <c r="D56" s="14">
        <v>1</v>
      </c>
      <c r="E56" s="14">
        <v>4</v>
      </c>
      <c r="F56" s="8">
        <f>GEOMEAN(B56:E56)/(GEOMEAN(B55:E55)+GEOMEAN(B56:E56)+GEOMEAN(B57:E57)+GEOMEAN(B58:E58))</f>
        <v>0.38279381084253938</v>
      </c>
      <c r="H56" s="2" t="s">
        <v>34</v>
      </c>
      <c r="I56" s="13">
        <f>1/J55</f>
        <v>3</v>
      </c>
      <c r="J56" s="13">
        <v>1</v>
      </c>
      <c r="K56" s="14">
        <v>4</v>
      </c>
      <c r="L56" s="14">
        <v>7</v>
      </c>
      <c r="M56" s="8">
        <f>GEOMEAN(I56:L56)/(GEOMEAN(I55:L55)+GEOMEAN(I56:L56)+GEOMEAN(I57:L57)+GEOMEAN(I58:L58))</f>
        <v>0.5377186259722776</v>
      </c>
      <c r="O56" s="2" t="s">
        <v>34</v>
      </c>
      <c r="P56" s="13">
        <f>1/Q55</f>
        <v>0.14285714285714285</v>
      </c>
      <c r="Q56" s="13">
        <v>1</v>
      </c>
      <c r="R56" s="14">
        <f>1/6</f>
        <v>0.16666666666666666</v>
      </c>
      <c r="S56" s="14">
        <v>3</v>
      </c>
      <c r="T56" s="8">
        <f>GEOMEAN(P56:S56)/(GEOMEAN(P55:S55)+GEOMEAN(P56:S56)+GEOMEAN(P57:S57)+GEOMEAN(P58:S58))</f>
        <v>8.0415129894314263E-2</v>
      </c>
    </row>
    <row r="57" spans="1:20" ht="21.95" customHeight="1" x14ac:dyDescent="0.25">
      <c r="A57" s="2" t="s">
        <v>36</v>
      </c>
      <c r="B57" s="13">
        <f>1/D55</f>
        <v>3</v>
      </c>
      <c r="C57" s="13">
        <f>1/D56</f>
        <v>1</v>
      </c>
      <c r="D57" s="13">
        <v>1</v>
      </c>
      <c r="E57" s="14">
        <v>4</v>
      </c>
      <c r="F57" s="8">
        <f>GEOMEAN(B57:E57)/(GEOMEAN(B55:E55)+GEOMEAN(B56:E56)+GEOMEAN(B57:E57)+GEOMEAN(B58:E58))</f>
        <v>0.38279381084253938</v>
      </c>
      <c r="H57" s="2" t="s">
        <v>36</v>
      </c>
      <c r="I57" s="13">
        <f>1/K55</f>
        <v>0.33333333333333331</v>
      </c>
      <c r="J57" s="13">
        <f>1/K56</f>
        <v>0.25</v>
      </c>
      <c r="K57" s="13">
        <v>1</v>
      </c>
      <c r="L57" s="14">
        <v>4</v>
      </c>
      <c r="M57" s="8">
        <f>GEOMEAN(I57:L57)/(GEOMEAN(I55:L55)+GEOMEAN(I56:L56)+GEOMEAN(I57:L57)+GEOMEAN(I58:L58))</f>
        <v>0.13495996129110985</v>
      </c>
      <c r="O57" s="2" t="s">
        <v>36</v>
      </c>
      <c r="P57" s="13">
        <f>1/R55</f>
        <v>0.33333333333333331</v>
      </c>
      <c r="Q57" s="13">
        <f>1/R56</f>
        <v>6</v>
      </c>
      <c r="R57" s="13">
        <v>1</v>
      </c>
      <c r="S57" s="14">
        <v>7</v>
      </c>
      <c r="T57" s="8">
        <f>GEOMEAN(P57:S57)/(GEOMEAN(P55:S55)+GEOMEAN(P56:S56)+GEOMEAN(P57:S57)+GEOMEAN(P58:S58))</f>
        <v>0.30088586477744694</v>
      </c>
    </row>
    <row r="58" spans="1:20" ht="21.95" customHeight="1" x14ac:dyDescent="0.25">
      <c r="A58" s="2" t="s">
        <v>38</v>
      </c>
      <c r="B58" s="13">
        <f>1/E55</f>
        <v>0.33333333333333331</v>
      </c>
      <c r="C58" s="13">
        <f>1/E56</f>
        <v>0.25</v>
      </c>
      <c r="D58" s="13">
        <f>1/E57</f>
        <v>0.25</v>
      </c>
      <c r="E58" s="13">
        <v>1</v>
      </c>
      <c r="F58" s="8">
        <f>GEOMEAN(B58:E58)/(GEOMEAN(B55:E55)+GEOMEAN(B56:E56)+GEOMEAN(B57:E57)+GEOMEAN(B58:E58))</f>
        <v>7.8137459438307036E-2</v>
      </c>
      <c r="H58" s="2" t="s">
        <v>38</v>
      </c>
      <c r="I58" s="13">
        <f>1/L55</f>
        <v>0.16666666666666666</v>
      </c>
      <c r="J58" s="13">
        <f>1/L56</f>
        <v>0.14285714285714285</v>
      </c>
      <c r="K58" s="13">
        <f>1/L57</f>
        <v>0.25</v>
      </c>
      <c r="L58" s="13">
        <v>1</v>
      </c>
      <c r="M58" s="8">
        <f>GEOMEAN(I58:L58)/(GEOMEAN(I55:L55)+GEOMEAN(I56:L56)+GEOMEAN(I57:L57)+GEOMEAN(I58:L58))</f>
        <v>4.933531872620802E-2</v>
      </c>
      <c r="O58" s="2" t="s">
        <v>38</v>
      </c>
      <c r="P58" s="13">
        <f>1/S55</f>
        <v>0.1111111111111111</v>
      </c>
      <c r="Q58" s="13">
        <f>1/S56</f>
        <v>0.33333333333333331</v>
      </c>
      <c r="R58" s="13">
        <f>1/S57</f>
        <v>0.14285714285714285</v>
      </c>
      <c r="S58" s="13">
        <v>1</v>
      </c>
      <c r="T58" s="8">
        <f>GEOMEAN(P58:S58)/(GEOMEAN(P55:S55)+GEOMEAN(P56:S56)+GEOMEAN(P57:S57)+GEOMEAN(P58:S58))</f>
        <v>4.1952159934060568E-2</v>
      </c>
    </row>
    <row r="59" spans="1:20" ht="21.95" customHeight="1" x14ac:dyDescent="0.25">
      <c r="A59" s="2" t="s">
        <v>80</v>
      </c>
      <c r="B59" s="8">
        <f>SUM(B55:B58)*F55+SUM(C55:C58)*F56+SUM(D55:D58)*F57+SUM(E55:E58)*F58</f>
        <v>4.0614336077079738</v>
      </c>
      <c r="C59" s="2" t="s">
        <v>81</v>
      </c>
      <c r="D59" s="11">
        <f>(B59-4)/3/0.9</f>
        <v>2.2753188039990293E-2</v>
      </c>
      <c r="E59" s="27" t="str">
        <f>IF(D59&lt;0.1,"согласована","пересмотреть")</f>
        <v>согласована</v>
      </c>
      <c r="F59" s="27"/>
      <c r="H59" s="2" t="s">
        <v>80</v>
      </c>
      <c r="I59" s="8">
        <f>SUM(I55:I58)*M55+SUM(J55:J58)*M56+SUM(K55:K58)*M57+SUM(L55:L58)*M58</f>
        <v>4.1805976117937949</v>
      </c>
      <c r="J59" s="2" t="s">
        <v>81</v>
      </c>
      <c r="K59" s="11">
        <f>(I59-4)/3/0.9</f>
        <v>6.6888004368072171E-2</v>
      </c>
      <c r="L59" s="27" t="str">
        <f>IF(K59&lt;0.1,"согласована","пересмотреть")</f>
        <v>согласована</v>
      </c>
      <c r="M59" s="27"/>
      <c r="O59" s="2" t="s">
        <v>80</v>
      </c>
      <c r="P59" s="8">
        <f>SUM(P55:P58)*T55+SUM(Q55:Q58)*T56+SUM(R55:R58)*T57+SUM(S55:S58)*T58</f>
        <v>4.2038060418726468</v>
      </c>
      <c r="Q59" s="2" t="s">
        <v>81</v>
      </c>
      <c r="R59" s="11">
        <f>(P59-4)/3/0.9</f>
        <v>7.5483719212091419E-2</v>
      </c>
      <c r="S59" s="27" t="str">
        <f>IF(R59&lt;0.1,"согласована","пересмотреть")</f>
        <v>согласована</v>
      </c>
      <c r="T59" s="27"/>
    </row>
    <row r="60" spans="1:20" ht="21.95" customHeight="1" x14ac:dyDescent="0.25"/>
    <row r="61" spans="1:20" ht="21.95" customHeight="1" x14ac:dyDescent="0.25"/>
    <row r="62" spans="1:20" ht="21.95" customHeight="1" x14ac:dyDescent="0.25">
      <c r="A62" s="26" t="s">
        <v>89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r="63" spans="1:20" ht="21.95" customHeight="1" x14ac:dyDescent="0.25">
      <c r="A63" s="25" t="s">
        <v>78</v>
      </c>
      <c r="B63" s="25"/>
      <c r="C63" s="25"/>
      <c r="D63" s="25"/>
      <c r="E63" s="25"/>
      <c r="F63" s="25"/>
      <c r="G63" s="25"/>
      <c r="H63" s="25"/>
    </row>
    <row r="64" spans="1:20" ht="21.95" customHeight="1" x14ac:dyDescent="0.25">
      <c r="A64" s="2" t="s">
        <v>65</v>
      </c>
      <c r="B64" s="2" t="s">
        <v>15</v>
      </c>
      <c r="C64" s="2" t="s">
        <v>18</v>
      </c>
      <c r="D64" s="2" t="s">
        <v>21</v>
      </c>
      <c r="E64" s="2" t="s">
        <v>23</v>
      </c>
      <c r="F64" s="2" t="s">
        <v>25</v>
      </c>
      <c r="G64" s="2" t="s">
        <v>27</v>
      </c>
      <c r="H64" s="2" t="s">
        <v>79</v>
      </c>
    </row>
    <row r="65" spans="1:20" ht="21.95" customHeight="1" x14ac:dyDescent="0.25">
      <c r="A65" s="2" t="s">
        <v>15</v>
      </c>
      <c r="B65" s="13">
        <v>1</v>
      </c>
      <c r="C65" s="14">
        <v>4</v>
      </c>
      <c r="D65" s="14">
        <v>3</v>
      </c>
      <c r="E65" s="14">
        <v>6</v>
      </c>
      <c r="F65" s="14">
        <v>2</v>
      </c>
      <c r="G65" s="14">
        <v>5</v>
      </c>
      <c r="H65" s="8">
        <f>GEOMEAN(B65:G65)/(GEOMEAN(B65:G65)+GEOMEAN(B66:G66)+GEOMEAN(B67:G67)+GEOMEAN(B68:G68)+GEOMEAN(B69:G69)+GEOMEAN(B70:G70))</f>
        <v>0.38062602029123943</v>
      </c>
    </row>
    <row r="66" spans="1:20" ht="21.95" customHeight="1" x14ac:dyDescent="0.25">
      <c r="A66" s="2" t="s">
        <v>18</v>
      </c>
      <c r="B66" s="13">
        <f>1/C65</f>
        <v>0.25</v>
      </c>
      <c r="C66" s="13">
        <v>1</v>
      </c>
      <c r="D66" s="14">
        <f>1/2</f>
        <v>0.5</v>
      </c>
      <c r="E66" s="14">
        <v>3</v>
      </c>
      <c r="F66" s="14">
        <f>1/3</f>
        <v>0.33333333333333331</v>
      </c>
      <c r="G66" s="14">
        <v>2</v>
      </c>
      <c r="H66" s="8">
        <f>GEOMEAN(B66:G66)/(GEOMEAN(B65:G65)+GEOMEAN(B66:G66)+GEOMEAN(B67:G67)+GEOMEAN(B68:G68)+GEOMEAN(B69:G69)+GEOMEAN(B70:G70))</f>
        <v>0.1009097335674012</v>
      </c>
    </row>
    <row r="67" spans="1:20" ht="21.95" customHeight="1" x14ac:dyDescent="0.25">
      <c r="A67" s="2" t="s">
        <v>21</v>
      </c>
      <c r="B67" s="13">
        <f>1/D65</f>
        <v>0.33333333333333331</v>
      </c>
      <c r="C67" s="13">
        <f>1/D66</f>
        <v>2</v>
      </c>
      <c r="D67" s="13">
        <v>1</v>
      </c>
      <c r="E67" s="14">
        <v>4</v>
      </c>
      <c r="F67" s="14">
        <f>1/2</f>
        <v>0.5</v>
      </c>
      <c r="G67" s="14">
        <v>3</v>
      </c>
      <c r="H67" s="8">
        <f>GEOMEAN(B67:G67)/(GEOMEAN(B65:G65)+GEOMEAN(B66:G66)+GEOMEAN(B67:G67)+GEOMEAN(B68:G68)+GEOMEAN(B69:G69)+GEOMEAN(B70:G70))</f>
        <v>0.16018421721872339</v>
      </c>
    </row>
    <row r="68" spans="1:20" ht="21.95" customHeight="1" x14ac:dyDescent="0.25">
      <c r="A68" s="2" t="s">
        <v>23</v>
      </c>
      <c r="B68" s="13">
        <f>1/E65</f>
        <v>0.16666666666666666</v>
      </c>
      <c r="C68" s="13">
        <f>1/E66</f>
        <v>0.33333333333333331</v>
      </c>
      <c r="D68" s="13">
        <f>1/E67</f>
        <v>0.25</v>
      </c>
      <c r="E68" s="13">
        <v>1</v>
      </c>
      <c r="F68" s="14">
        <f>1/5</f>
        <v>0.2</v>
      </c>
      <c r="G68" s="14">
        <f>1/2</f>
        <v>0.5</v>
      </c>
      <c r="H68" s="8">
        <f>GEOMEAN(B68:G68)/(GEOMEAN(B65:G65)+GEOMEAN(B66:G66)+GEOMEAN(B67:G67)+GEOMEAN(B68:G68)+GEOMEAN(B69:G69)+GEOMEAN(B70:G70))</f>
        <v>4.2467266606933361E-2</v>
      </c>
    </row>
    <row r="69" spans="1:20" ht="21.95" customHeight="1" x14ac:dyDescent="0.25">
      <c r="A69" s="2" t="s">
        <v>25</v>
      </c>
      <c r="B69" s="13">
        <f>1/F65</f>
        <v>0.5</v>
      </c>
      <c r="C69" s="13">
        <f>1/F66</f>
        <v>3</v>
      </c>
      <c r="D69" s="13">
        <f>1/F67</f>
        <v>2</v>
      </c>
      <c r="E69" s="13">
        <f>1/F68</f>
        <v>5</v>
      </c>
      <c r="F69" s="13">
        <v>1</v>
      </c>
      <c r="G69" s="14">
        <v>4</v>
      </c>
      <c r="H69" s="8">
        <f>GEOMEAN(B69:G69)/(GEOMEAN(B65:G65)+GEOMEAN(B66:G66)+GEOMEAN(B67:G67)+GEOMEAN(B68:G68)+GEOMEAN(B69:G69)+GEOMEAN(B70:G70))</f>
        <v>0.25155614639580876</v>
      </c>
    </row>
    <row r="70" spans="1:20" ht="21.95" customHeight="1" x14ac:dyDescent="0.25">
      <c r="A70" s="2" t="s">
        <v>27</v>
      </c>
      <c r="B70" s="13">
        <f>1/G65</f>
        <v>0.2</v>
      </c>
      <c r="C70" s="13">
        <f>1/G66</f>
        <v>0.5</v>
      </c>
      <c r="D70" s="13">
        <f>1/G67</f>
        <v>0.33333333333333331</v>
      </c>
      <c r="E70" s="13">
        <f>1/G68</f>
        <v>2</v>
      </c>
      <c r="F70" s="13">
        <f>1/G69</f>
        <v>0.25</v>
      </c>
      <c r="G70" s="13">
        <v>1</v>
      </c>
      <c r="H70" s="8">
        <f>GEOMEAN(B70:G70)/(GEOMEAN(B65:G65)+GEOMEAN(B66:G66)+GEOMEAN(B67:G67)+GEOMEAN(B68:G68)+GEOMEAN(B69:G69)+GEOMEAN(B70:G70))</f>
        <v>6.4256615919893928E-2</v>
      </c>
    </row>
    <row r="71" spans="1:20" ht="21.95" customHeight="1" x14ac:dyDescent="0.25">
      <c r="A71" s="2" t="s">
        <v>80</v>
      </c>
      <c r="B71" s="8">
        <f>SUM(B65:B70)*H65+SUM(C65:C70)*H66+SUM(D65:D70)*H67+SUM(E65:E70)*H68+SUM(F65:F70)*H69+SUM(G65:G70)*H70</f>
        <v>6.125649707892344</v>
      </c>
      <c r="C71" s="2" t="s">
        <v>81</v>
      </c>
      <c r="D71" s="11">
        <f>(B71-6)/5/1.24</f>
        <v>2.0266081918119998E-2</v>
      </c>
      <c r="E71" s="27" t="str">
        <f>IF(D71&lt;0.1,"согласована","пересмотреть")</f>
        <v>согласована</v>
      </c>
      <c r="F71" s="27"/>
      <c r="G71" s="27"/>
      <c r="H71" s="27"/>
    </row>
    <row r="72" spans="1:20" ht="21.95" customHeight="1" x14ac:dyDescent="0.25"/>
    <row r="73" spans="1:20" ht="21.95" customHeight="1" x14ac:dyDescent="0.25">
      <c r="A73" s="25" t="s">
        <v>82</v>
      </c>
      <c r="B73" s="25"/>
      <c r="C73" s="25"/>
      <c r="D73" s="25"/>
      <c r="E73" s="25"/>
      <c r="F73" s="25"/>
      <c r="H73" s="25" t="s">
        <v>83</v>
      </c>
      <c r="I73" s="25"/>
      <c r="J73" s="25"/>
      <c r="K73" s="25"/>
      <c r="L73" s="25"/>
      <c r="M73" s="25"/>
      <c r="O73" s="25" t="s">
        <v>84</v>
      </c>
      <c r="P73" s="25"/>
      <c r="Q73" s="25"/>
      <c r="R73" s="25"/>
      <c r="S73" s="25"/>
      <c r="T73" s="25"/>
    </row>
    <row r="74" spans="1:20" ht="21.95" customHeight="1" x14ac:dyDescent="0.25">
      <c r="A74" s="2" t="s">
        <v>65</v>
      </c>
      <c r="B74" s="2" t="s">
        <v>32</v>
      </c>
      <c r="C74" s="2" t="s">
        <v>34</v>
      </c>
      <c r="D74" s="2" t="s">
        <v>36</v>
      </c>
      <c r="E74" s="2" t="s">
        <v>38</v>
      </c>
      <c r="F74" s="2" t="s">
        <v>79</v>
      </c>
      <c r="H74" s="2" t="s">
        <v>65</v>
      </c>
      <c r="I74" s="2" t="s">
        <v>32</v>
      </c>
      <c r="J74" s="2" t="s">
        <v>34</v>
      </c>
      <c r="K74" s="2" t="s">
        <v>36</v>
      </c>
      <c r="L74" s="2" t="s">
        <v>38</v>
      </c>
      <c r="M74" s="2" t="s">
        <v>79</v>
      </c>
      <c r="O74" s="2" t="s">
        <v>65</v>
      </c>
      <c r="P74" s="2" t="s">
        <v>32</v>
      </c>
      <c r="Q74" s="2" t="s">
        <v>34</v>
      </c>
      <c r="R74" s="2" t="s">
        <v>36</v>
      </c>
      <c r="S74" s="2" t="s">
        <v>38</v>
      </c>
      <c r="T74" s="2" t="s">
        <v>79</v>
      </c>
    </row>
    <row r="75" spans="1:20" ht="21.95" customHeight="1" x14ac:dyDescent="0.25">
      <c r="A75" s="2" t="s">
        <v>32</v>
      </c>
      <c r="B75" s="13">
        <v>1</v>
      </c>
      <c r="C75" s="14">
        <v>2</v>
      </c>
      <c r="D75" s="14">
        <v>3</v>
      </c>
      <c r="E75" s="14">
        <v>3</v>
      </c>
      <c r="F75" s="8">
        <f>GEOMEAN(B75:E75)/(GEOMEAN(B75:E75)+GEOMEAN(B76:E76)+GEOMEAN(B77:E77)+GEOMEAN(B78:E78))</f>
        <v>0.45501008010725352</v>
      </c>
      <c r="H75" s="2" t="s">
        <v>32</v>
      </c>
      <c r="I75" s="13">
        <v>1</v>
      </c>
      <c r="J75" s="14">
        <f>1/2</f>
        <v>0.5</v>
      </c>
      <c r="K75" s="14">
        <f>1/3</f>
        <v>0.33333333333333331</v>
      </c>
      <c r="L75" s="14">
        <f>1/3</f>
        <v>0.33333333333333331</v>
      </c>
      <c r="M75" s="8">
        <f>GEOMEAN(I75:L75)/(GEOMEAN(I75:L75)+GEOMEAN(I76:L76)+GEOMEAN(I77:L77)+GEOMEAN(I78:L78))</f>
        <v>0.10893874663644047</v>
      </c>
      <c r="O75" s="2" t="s">
        <v>32</v>
      </c>
      <c r="P75" s="13">
        <v>1</v>
      </c>
      <c r="Q75" s="14">
        <f>1/2</f>
        <v>0.5</v>
      </c>
      <c r="R75" s="14">
        <v>2</v>
      </c>
      <c r="S75" s="14">
        <v>2</v>
      </c>
      <c r="T75" s="8">
        <f>GEOMEAN(P75:S75)/(GEOMEAN(P75:S75)+GEOMEAN(P76:S76)+GEOMEAN(P77:S77)+GEOMEAN(P78:S78))</f>
        <v>0.262700192233916</v>
      </c>
    </row>
    <row r="76" spans="1:20" ht="21.95" customHeight="1" x14ac:dyDescent="0.25">
      <c r="A76" s="2" t="s">
        <v>34</v>
      </c>
      <c r="B76" s="13">
        <f>1/C75</f>
        <v>0.5</v>
      </c>
      <c r="C76" s="13">
        <v>1</v>
      </c>
      <c r="D76" s="14">
        <v>2</v>
      </c>
      <c r="E76" s="14">
        <v>2</v>
      </c>
      <c r="F76" s="8">
        <f>GEOMEAN(B76:E76)/(GEOMEAN(B75:E75)+GEOMEAN(B76:E76)+GEOMEAN(B77:E77)+GEOMEAN(B78:E78))</f>
        <v>0.262700192233916</v>
      </c>
      <c r="H76" s="2" t="s">
        <v>34</v>
      </c>
      <c r="I76" s="13">
        <f>1/J75</f>
        <v>2</v>
      </c>
      <c r="J76" s="13">
        <v>1</v>
      </c>
      <c r="K76" s="14">
        <f>1/2</f>
        <v>0.5</v>
      </c>
      <c r="L76" s="14">
        <f>1/2</f>
        <v>0.5</v>
      </c>
      <c r="M76" s="8">
        <f>GEOMEAN(I76:L76)/(GEOMEAN(I75:L75)+GEOMEAN(I76:L76)+GEOMEAN(I77:L77)+GEOMEAN(I78:L78))</f>
        <v>0.18868744408718802</v>
      </c>
      <c r="O76" s="2" t="s">
        <v>34</v>
      </c>
      <c r="P76" s="13">
        <f>1/Q75</f>
        <v>2</v>
      </c>
      <c r="Q76" s="13">
        <v>1</v>
      </c>
      <c r="R76" s="14">
        <v>3</v>
      </c>
      <c r="S76" s="14">
        <v>3</v>
      </c>
      <c r="T76" s="8">
        <f>GEOMEAN(P76:S76)/(GEOMEAN(P75:S75)+GEOMEAN(P76:S76)+GEOMEAN(P77:S77)+GEOMEAN(P78:S78))</f>
        <v>0.45501008010725352</v>
      </c>
    </row>
    <row r="77" spans="1:20" ht="21.95" customHeight="1" x14ac:dyDescent="0.25">
      <c r="A77" s="2" t="s">
        <v>36</v>
      </c>
      <c r="B77" s="13">
        <f>1/D75</f>
        <v>0.33333333333333331</v>
      </c>
      <c r="C77" s="13">
        <f>1/D76</f>
        <v>0.5</v>
      </c>
      <c r="D77" s="13">
        <v>1</v>
      </c>
      <c r="E77" s="14">
        <v>1</v>
      </c>
      <c r="F77" s="8">
        <f>GEOMEAN(B77:E77)/(GEOMEAN(B75:E75)+GEOMEAN(B76:E76)+GEOMEAN(B77:E77)+GEOMEAN(B78:E78))</f>
        <v>0.14114486382941524</v>
      </c>
      <c r="H77" s="2" t="s">
        <v>36</v>
      </c>
      <c r="I77" s="13">
        <f>1/K75</f>
        <v>3</v>
      </c>
      <c r="J77" s="13">
        <f>1/K76</f>
        <v>2</v>
      </c>
      <c r="K77" s="13">
        <v>1</v>
      </c>
      <c r="L77" s="14">
        <v>1</v>
      </c>
      <c r="M77" s="8">
        <f>GEOMEAN(I77:L77)/(GEOMEAN(I75:L75)+GEOMEAN(I76:L76)+GEOMEAN(I77:L77)+GEOMEAN(I78:L78))</f>
        <v>0.3511869046381858</v>
      </c>
      <c r="O77" s="2" t="s">
        <v>36</v>
      </c>
      <c r="P77" s="13">
        <f>1/R75</f>
        <v>0.5</v>
      </c>
      <c r="Q77" s="13">
        <f>1/R76</f>
        <v>0.33333333333333331</v>
      </c>
      <c r="R77" s="13">
        <v>1</v>
      </c>
      <c r="S77" s="14">
        <v>1</v>
      </c>
      <c r="T77" s="8">
        <f>GEOMEAN(P77:S77)/(GEOMEAN(P75:S75)+GEOMEAN(P76:S76)+GEOMEAN(P77:S77)+GEOMEAN(P78:S78))</f>
        <v>0.14114486382941524</v>
      </c>
    </row>
    <row r="78" spans="1:20" ht="21.95" customHeight="1" x14ac:dyDescent="0.25">
      <c r="A78" s="2" t="s">
        <v>38</v>
      </c>
      <c r="B78" s="13">
        <f>1/E75</f>
        <v>0.33333333333333331</v>
      </c>
      <c r="C78" s="13">
        <f>1/E76</f>
        <v>0.5</v>
      </c>
      <c r="D78" s="13">
        <f>1/E77</f>
        <v>1</v>
      </c>
      <c r="E78" s="13">
        <v>1</v>
      </c>
      <c r="F78" s="8">
        <f>GEOMEAN(B78:E78)/(GEOMEAN(B75:E75)+GEOMEAN(B76:E76)+GEOMEAN(B77:E77)+GEOMEAN(B78:E78))</f>
        <v>0.14114486382941524</v>
      </c>
      <c r="H78" s="2" t="s">
        <v>38</v>
      </c>
      <c r="I78" s="13">
        <f>1/L75</f>
        <v>3</v>
      </c>
      <c r="J78" s="13">
        <f>1/L76</f>
        <v>2</v>
      </c>
      <c r="K78" s="13">
        <f>1/L77</f>
        <v>1</v>
      </c>
      <c r="L78" s="13">
        <v>1</v>
      </c>
      <c r="M78" s="8">
        <f>GEOMEAN(I78:L78)/(GEOMEAN(I75:L75)+GEOMEAN(I76:L76)+GEOMEAN(I77:L77)+GEOMEAN(I78:L78))</f>
        <v>0.3511869046381858</v>
      </c>
      <c r="O78" s="2" t="s">
        <v>38</v>
      </c>
      <c r="P78" s="13">
        <f>1/S75</f>
        <v>0.5</v>
      </c>
      <c r="Q78" s="13">
        <f>1/S76</f>
        <v>0.33333333333333331</v>
      </c>
      <c r="R78" s="13">
        <f>1/S77</f>
        <v>1</v>
      </c>
      <c r="S78" s="13">
        <v>1</v>
      </c>
      <c r="T78" s="8">
        <f>GEOMEAN(P78:S78)/(GEOMEAN(P75:S75)+GEOMEAN(P76:S76)+GEOMEAN(P77:S77)+GEOMEAN(P78:S78))</f>
        <v>0.14114486382941524</v>
      </c>
    </row>
    <row r="79" spans="1:20" ht="21.95" customHeight="1" x14ac:dyDescent="0.25">
      <c r="A79" s="2" t="s">
        <v>80</v>
      </c>
      <c r="B79" s="8">
        <f>SUM(B75:B78)*F75+SUM(C75:C78)*F76+SUM(D75:D78)*F77+SUM(E75:E78)*F78</f>
        <v>4.0126840361131926</v>
      </c>
      <c r="C79" s="2" t="s">
        <v>81</v>
      </c>
      <c r="D79" s="11">
        <f>(B79-4)/3/0.9</f>
        <v>4.6977911530342873E-3</v>
      </c>
      <c r="E79" s="27" t="str">
        <f>IF(D79&lt;0.1,"согласована","пересмотреть")</f>
        <v>согласована</v>
      </c>
      <c r="F79" s="27"/>
      <c r="H79" s="2" t="s">
        <v>80</v>
      </c>
      <c r="I79" s="8">
        <f>SUM(I75:I78)*M75+SUM(J75:J78)*M76+SUM(K75:K78)*M77+SUM(L75:L78)*M78</f>
        <v>4.0082887884905514</v>
      </c>
      <c r="J79" s="2" t="s">
        <v>81</v>
      </c>
      <c r="K79" s="11">
        <f>(I79-4)/3/0.9</f>
        <v>3.0699216631671733E-3</v>
      </c>
      <c r="L79" s="27" t="str">
        <f>IF(K79&lt;0.1,"согласована","пересмотреть")</f>
        <v>согласована</v>
      </c>
      <c r="M79" s="27"/>
      <c r="O79" s="2" t="s">
        <v>80</v>
      </c>
      <c r="P79" s="8">
        <f>SUM(P75:P78)*T75+SUM(Q75:Q78)*T76+SUM(R75:R78)*T77+SUM(S75:S78)*T78</f>
        <v>4.0126840361131926</v>
      </c>
      <c r="Q79" s="2" t="s">
        <v>81</v>
      </c>
      <c r="R79" s="11">
        <f>(P79-4)/3/0.9</f>
        <v>4.6977911530342873E-3</v>
      </c>
      <c r="S79" s="27" t="str">
        <f>IF(R79&lt;0.1,"согласована","пересмотреть")</f>
        <v>согласована</v>
      </c>
      <c r="T79" s="27"/>
    </row>
    <row r="80" spans="1:20" ht="21.95" customHeight="1" x14ac:dyDescent="0.25"/>
    <row r="81" spans="1:20" ht="21.95" customHeight="1" x14ac:dyDescent="0.25">
      <c r="A81" s="25" t="s">
        <v>85</v>
      </c>
      <c r="B81" s="25"/>
      <c r="C81" s="25"/>
      <c r="D81" s="25"/>
      <c r="E81" s="25"/>
      <c r="F81" s="25"/>
      <c r="H81" s="25" t="s">
        <v>86</v>
      </c>
      <c r="I81" s="25"/>
      <c r="J81" s="25"/>
      <c r="K81" s="25"/>
      <c r="L81" s="25"/>
      <c r="M81" s="25"/>
      <c r="O81" s="25" t="s">
        <v>87</v>
      </c>
      <c r="P81" s="25"/>
      <c r="Q81" s="25"/>
      <c r="R81" s="25"/>
      <c r="S81" s="25"/>
      <c r="T81" s="25"/>
    </row>
    <row r="82" spans="1:20" ht="21.95" customHeight="1" x14ac:dyDescent="0.25">
      <c r="A82" s="2" t="s">
        <v>65</v>
      </c>
      <c r="B82" s="2" t="s">
        <v>32</v>
      </c>
      <c r="C82" s="2" t="s">
        <v>34</v>
      </c>
      <c r="D82" s="2" t="s">
        <v>36</v>
      </c>
      <c r="E82" s="2" t="s">
        <v>38</v>
      </c>
      <c r="F82" s="2" t="s">
        <v>79</v>
      </c>
      <c r="H82" s="2" t="s">
        <v>65</v>
      </c>
      <c r="I82" s="2" t="s">
        <v>32</v>
      </c>
      <c r="J82" s="2" t="s">
        <v>34</v>
      </c>
      <c r="K82" s="2" t="s">
        <v>36</v>
      </c>
      <c r="L82" s="2" t="s">
        <v>38</v>
      </c>
      <c r="M82" s="2" t="s">
        <v>79</v>
      </c>
      <c r="O82" s="2" t="s">
        <v>65</v>
      </c>
      <c r="P82" s="2" t="s">
        <v>32</v>
      </c>
      <c r="Q82" s="2" t="s">
        <v>34</v>
      </c>
      <c r="R82" s="2" t="s">
        <v>36</v>
      </c>
      <c r="S82" s="2" t="s">
        <v>38</v>
      </c>
      <c r="T82" s="2" t="s">
        <v>79</v>
      </c>
    </row>
    <row r="83" spans="1:20" ht="21.95" customHeight="1" x14ac:dyDescent="0.25">
      <c r="A83" s="2" t="s">
        <v>32</v>
      </c>
      <c r="B83" s="13">
        <v>1</v>
      </c>
      <c r="C83" s="14">
        <f>1/2</f>
        <v>0.5</v>
      </c>
      <c r="D83" s="14">
        <f>1/2</f>
        <v>0.5</v>
      </c>
      <c r="E83" s="14">
        <f>1/2</f>
        <v>0.5</v>
      </c>
      <c r="F83" s="8">
        <f>GEOMEAN(B83:E83)/(GEOMEAN(B83:E83)+GEOMEAN(B84:E84)+GEOMEAN(B85:E85)+GEOMEAN(B86:E86))</f>
        <v>0.14285714285714288</v>
      </c>
      <c r="H83" s="2" t="s">
        <v>32</v>
      </c>
      <c r="I83" s="13">
        <v>1</v>
      </c>
      <c r="J83" s="14">
        <v>1</v>
      </c>
      <c r="K83" s="14">
        <v>2</v>
      </c>
      <c r="L83" s="14">
        <v>5</v>
      </c>
      <c r="M83" s="8">
        <f>GEOMEAN(I83:L83)/(GEOMEAN(I83:L83)+GEOMEAN(I84:L84)+GEOMEAN(I85:L85)+GEOMEAN(I86:L86))</f>
        <v>0.36494095906304252</v>
      </c>
      <c r="O83" s="2" t="s">
        <v>32</v>
      </c>
      <c r="P83" s="13">
        <v>1</v>
      </c>
      <c r="Q83" s="14">
        <v>3</v>
      </c>
      <c r="R83" s="14">
        <f>1/2</f>
        <v>0.5</v>
      </c>
      <c r="S83" s="14">
        <v>4</v>
      </c>
      <c r="T83" s="8">
        <f>GEOMEAN(P83:S83)/(GEOMEAN(P83:S83)+GEOMEAN(P84:S84)+GEOMEAN(P85:S85)+GEOMEAN(P86:S86))</f>
        <v>0.30588789828142926</v>
      </c>
    </row>
    <row r="84" spans="1:20" ht="21.95" customHeight="1" x14ac:dyDescent="0.25">
      <c r="A84" s="2" t="s">
        <v>34</v>
      </c>
      <c r="B84" s="13">
        <f>1/C83</f>
        <v>2</v>
      </c>
      <c r="C84" s="13">
        <v>1</v>
      </c>
      <c r="D84" s="14">
        <v>1</v>
      </c>
      <c r="E84" s="14">
        <v>1</v>
      </c>
      <c r="F84" s="8">
        <f>GEOMEAN(B84:E84)/(GEOMEAN(B83:E83)+GEOMEAN(B84:E84)+GEOMEAN(B85:E85)+GEOMEAN(B86:E86))</f>
        <v>0.28571428571428575</v>
      </c>
      <c r="H84" s="2" t="s">
        <v>34</v>
      </c>
      <c r="I84" s="13">
        <f>1/J83</f>
        <v>1</v>
      </c>
      <c r="J84" s="13">
        <v>1</v>
      </c>
      <c r="K84" s="14">
        <v>2</v>
      </c>
      <c r="L84" s="14">
        <v>5</v>
      </c>
      <c r="M84" s="8">
        <f>GEOMEAN(I84:L84)/(GEOMEAN(I83:L83)+GEOMEAN(I84:L84)+GEOMEAN(I85:L85)+GEOMEAN(I86:L86))</f>
        <v>0.36494095906304252</v>
      </c>
      <c r="O84" s="2" t="s">
        <v>34</v>
      </c>
      <c r="P84" s="13">
        <f>1/Q83</f>
        <v>0.33333333333333331</v>
      </c>
      <c r="Q84" s="13">
        <v>1</v>
      </c>
      <c r="R84" s="14">
        <f>1/4</f>
        <v>0.25</v>
      </c>
      <c r="S84" s="14">
        <v>2</v>
      </c>
      <c r="T84" s="8">
        <f>GEOMEAN(P84:S84)/(GEOMEAN(P83:S83)+GEOMEAN(P84:S84)+GEOMEAN(P85:S85)+GEOMEAN(P86:S86))</f>
        <v>0.12487821154697751</v>
      </c>
    </row>
    <row r="85" spans="1:20" ht="21.95" customHeight="1" x14ac:dyDescent="0.25">
      <c r="A85" s="2" t="s">
        <v>36</v>
      </c>
      <c r="B85" s="13">
        <f>1/D83</f>
        <v>2</v>
      </c>
      <c r="C85" s="13">
        <f>1/D84</f>
        <v>1</v>
      </c>
      <c r="D85" s="13">
        <v>1</v>
      </c>
      <c r="E85" s="14">
        <v>1</v>
      </c>
      <c r="F85" s="8">
        <f>GEOMEAN(B85:E85)/(GEOMEAN(B83:E83)+GEOMEAN(B84:E84)+GEOMEAN(B85:E85)+GEOMEAN(B86:E86))</f>
        <v>0.28571428571428575</v>
      </c>
      <c r="H85" s="2" t="s">
        <v>36</v>
      </c>
      <c r="I85" s="13">
        <f>1/K83</f>
        <v>0.5</v>
      </c>
      <c r="J85" s="13">
        <f>1/K84</f>
        <v>0.5</v>
      </c>
      <c r="K85" s="13">
        <v>1</v>
      </c>
      <c r="L85" s="14">
        <v>4</v>
      </c>
      <c r="M85" s="8">
        <f>GEOMEAN(I85:L85)/(GEOMEAN(I83:L83)+GEOMEAN(I84:L84)+GEOMEAN(I85:L85)+GEOMEAN(I86:L86))</f>
        <v>0.20522138253574826</v>
      </c>
      <c r="O85" s="2" t="s">
        <v>36</v>
      </c>
      <c r="P85" s="13">
        <f>1/R83</f>
        <v>2</v>
      </c>
      <c r="Q85" s="13">
        <f>1/R84</f>
        <v>4</v>
      </c>
      <c r="R85" s="13">
        <v>1</v>
      </c>
      <c r="S85" s="14">
        <v>5</v>
      </c>
      <c r="T85" s="8">
        <f>GEOMEAN(P85:S85)/(GEOMEAN(P83:S83)+GEOMEAN(P84:S84)+GEOMEAN(P85:S85)+GEOMEAN(P86:S86))</f>
        <v>0.49151806098110234</v>
      </c>
    </row>
    <row r="86" spans="1:20" ht="21.95" customHeight="1" x14ac:dyDescent="0.25">
      <c r="A86" s="2" t="s">
        <v>38</v>
      </c>
      <c r="B86" s="13">
        <f>1/E83</f>
        <v>2</v>
      </c>
      <c r="C86" s="13">
        <f>1/E84</f>
        <v>1</v>
      </c>
      <c r="D86" s="13">
        <f>1/E85</f>
        <v>1</v>
      </c>
      <c r="E86" s="13">
        <v>1</v>
      </c>
      <c r="F86" s="8">
        <f>GEOMEAN(B86:E86)/(GEOMEAN(B83:E83)+GEOMEAN(B84:E84)+GEOMEAN(B85:E85)+GEOMEAN(B86:E86))</f>
        <v>0.28571428571428575</v>
      </c>
      <c r="H86" s="2" t="s">
        <v>38</v>
      </c>
      <c r="I86" s="13">
        <f>1/L83</f>
        <v>0.2</v>
      </c>
      <c r="J86" s="13">
        <f>1/L84</f>
        <v>0.2</v>
      </c>
      <c r="K86" s="13">
        <f>1/L85</f>
        <v>0.25</v>
      </c>
      <c r="L86" s="13">
        <v>1</v>
      </c>
      <c r="M86" s="8">
        <f>GEOMEAN(I86:L86)/(GEOMEAN(I83:L83)+GEOMEAN(I84:L84)+GEOMEAN(I85:L85)+GEOMEAN(I86:L86))</f>
        <v>6.4896699338166594E-2</v>
      </c>
      <c r="O86" s="2" t="s">
        <v>38</v>
      </c>
      <c r="P86" s="13">
        <f>1/S83</f>
        <v>0.25</v>
      </c>
      <c r="Q86" s="13">
        <f>1/S84</f>
        <v>0.5</v>
      </c>
      <c r="R86" s="13">
        <f>1/S85</f>
        <v>0.2</v>
      </c>
      <c r="S86" s="13">
        <v>1</v>
      </c>
      <c r="T86" s="8">
        <f>GEOMEAN(P86:S86)/(GEOMEAN(P83:S83)+GEOMEAN(P84:S84)+GEOMEAN(P85:S85)+GEOMEAN(P86:S86))</f>
        <v>7.7715829190490943E-2</v>
      </c>
    </row>
    <row r="87" spans="1:20" ht="21.95" customHeight="1" x14ac:dyDescent="0.25">
      <c r="A87" s="2" t="s">
        <v>80</v>
      </c>
      <c r="B87" s="8">
        <f>SUM(B83:B86)*F83+SUM(C83:C86)*F84+SUM(D83:D86)*F85+SUM(E83:E86)*F86</f>
        <v>4.0000000000000009</v>
      </c>
      <c r="C87" s="2" t="s">
        <v>81</v>
      </c>
      <c r="D87" s="11">
        <f>(B87-4)/3/0.9</f>
        <v>3.2895497025930562E-16</v>
      </c>
      <c r="E87" s="27" t="str">
        <f>IF(D87&lt;0.1,"согласована","пересмотреть")</f>
        <v>согласована</v>
      </c>
      <c r="F87" s="27"/>
      <c r="H87" s="2" t="s">
        <v>80</v>
      </c>
      <c r="I87" s="8">
        <f>SUM(I83:I86)*M83+SUM(J83:J86)*M84+SUM(K83:K86)*M85+SUM(L83:L86)*M86</f>
        <v>4.0215439273256068</v>
      </c>
      <c r="J87" s="2" t="s">
        <v>81</v>
      </c>
      <c r="K87" s="11">
        <f>(I87-4)/3/0.9</f>
        <v>7.9792323428173467E-3</v>
      </c>
      <c r="L87" s="27" t="str">
        <f>IF(K87&lt;0.1,"согласована","пересмотреть")</f>
        <v>согласована</v>
      </c>
      <c r="M87" s="27"/>
      <c r="O87" s="2" t="s">
        <v>80</v>
      </c>
      <c r="P87" s="8">
        <f>SUM(P83:P86)*T83+SUM(Q83:Q86)*T84+SUM(R83:R86)*T85+SUM(S83:S86)*T86</f>
        <v>4.0486132695234707</v>
      </c>
      <c r="Q87" s="2" t="s">
        <v>81</v>
      </c>
      <c r="R87" s="11">
        <f>(P87-4)/3/0.9</f>
        <v>1.8004914638322472E-2</v>
      </c>
      <c r="S87" s="27" t="str">
        <f>IF(R87&lt;0.1,"согласована","пересмотреть")</f>
        <v>согласована</v>
      </c>
      <c r="T87" s="27"/>
    </row>
    <row r="88" spans="1:20" ht="21.95" customHeight="1" x14ac:dyDescent="0.25"/>
    <row r="89" spans="1:20" ht="21.95" customHeight="1" x14ac:dyDescent="0.25"/>
    <row r="90" spans="1:20" ht="21.95" customHeight="1" x14ac:dyDescent="0.25">
      <c r="A90" s="26" t="s">
        <v>90</v>
      </c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</row>
    <row r="91" spans="1:20" ht="21.95" customHeight="1" x14ac:dyDescent="0.25">
      <c r="A91" s="25" t="s">
        <v>78</v>
      </c>
      <c r="B91" s="25"/>
      <c r="C91" s="25"/>
      <c r="D91" s="25"/>
      <c r="E91" s="25"/>
      <c r="F91" s="25"/>
      <c r="G91" s="25"/>
      <c r="H91" s="25"/>
    </row>
    <row r="92" spans="1:20" ht="21.95" customHeight="1" x14ac:dyDescent="0.25">
      <c r="A92" s="2" t="s">
        <v>65</v>
      </c>
      <c r="B92" s="2" t="s">
        <v>15</v>
      </c>
      <c r="C92" s="2" t="s">
        <v>18</v>
      </c>
      <c r="D92" s="2" t="s">
        <v>21</v>
      </c>
      <c r="E92" s="2" t="s">
        <v>23</v>
      </c>
      <c r="F92" s="2" t="s">
        <v>25</v>
      </c>
      <c r="G92" s="2" t="s">
        <v>27</v>
      </c>
      <c r="H92" s="2" t="s">
        <v>79</v>
      </c>
    </row>
    <row r="93" spans="1:20" ht="21.95" customHeight="1" x14ac:dyDescent="0.25">
      <c r="A93" s="2" t="s">
        <v>15</v>
      </c>
      <c r="B93" s="13">
        <v>1</v>
      </c>
      <c r="C93" s="14">
        <v>1</v>
      </c>
      <c r="D93" s="14">
        <f>1/3</f>
        <v>0.33333333333333331</v>
      </c>
      <c r="E93" s="14">
        <v>3</v>
      </c>
      <c r="F93" s="14">
        <v>1</v>
      </c>
      <c r="G93" s="14">
        <f>1/3</f>
        <v>0.33333333333333331</v>
      </c>
      <c r="H93" s="8">
        <f>GEOMEAN(B93:G93)/(GEOMEAN(B93:G93)+GEOMEAN(B94:G94)+GEOMEAN(B95:G95)+GEOMEAN(B96:G96)+GEOMEAN(B97:G97)+GEOMEAN(B98:G98))</f>
        <v>0.11305097823241143</v>
      </c>
    </row>
    <row r="94" spans="1:20" ht="21.95" customHeight="1" x14ac:dyDescent="0.25">
      <c r="A94" s="2" t="s">
        <v>18</v>
      </c>
      <c r="B94" s="13">
        <f>1/C93</f>
        <v>1</v>
      </c>
      <c r="C94" s="13">
        <v>1</v>
      </c>
      <c r="D94" s="14">
        <f>1/3</f>
        <v>0.33333333333333331</v>
      </c>
      <c r="E94" s="14">
        <v>3</v>
      </c>
      <c r="F94" s="14">
        <v>1</v>
      </c>
      <c r="G94" s="14">
        <f>1/3</f>
        <v>0.33333333333333331</v>
      </c>
      <c r="H94" s="8">
        <f>GEOMEAN(B94:G94)/(GEOMEAN(B93:G93)+GEOMEAN(B94:G94)+GEOMEAN(B95:G95)+GEOMEAN(B96:G96)+GEOMEAN(B97:G97)+GEOMEAN(B98:G98))</f>
        <v>0.11305097823241143</v>
      </c>
    </row>
    <row r="95" spans="1:20" ht="21.95" customHeight="1" x14ac:dyDescent="0.25">
      <c r="A95" s="2" t="s">
        <v>21</v>
      </c>
      <c r="B95" s="13">
        <f>1/D93</f>
        <v>3</v>
      </c>
      <c r="C95" s="13">
        <f>1/D94</f>
        <v>3</v>
      </c>
      <c r="D95" s="13">
        <v>1</v>
      </c>
      <c r="E95" s="14">
        <v>5</v>
      </c>
      <c r="F95" s="14">
        <v>3</v>
      </c>
      <c r="G95" s="14">
        <v>1</v>
      </c>
      <c r="H95" s="8">
        <f>GEOMEAN(B95:G95)/(GEOMEAN(B93:G93)+GEOMEAN(B94:G94)+GEOMEAN(B95:G95)+GEOMEAN(B96:G96)+GEOMEAN(B97:G97)+GEOMEAN(B98:G98))</f>
        <v>0.30750356980449295</v>
      </c>
    </row>
    <row r="96" spans="1:20" ht="21.95" customHeight="1" x14ac:dyDescent="0.25">
      <c r="A96" s="2" t="s">
        <v>23</v>
      </c>
      <c r="B96" s="13">
        <f>1/E93</f>
        <v>0.33333333333333331</v>
      </c>
      <c r="C96" s="13">
        <f>1/E94</f>
        <v>0.33333333333333331</v>
      </c>
      <c r="D96" s="13">
        <f>1/E95</f>
        <v>0.2</v>
      </c>
      <c r="E96" s="13">
        <v>1</v>
      </c>
      <c r="F96" s="14">
        <f>1/3</f>
        <v>0.33333333333333331</v>
      </c>
      <c r="G96" s="14">
        <f>1/5</f>
        <v>0.2</v>
      </c>
      <c r="H96" s="8">
        <f>GEOMEAN(B96:G96)/(GEOMEAN(B93:G93)+GEOMEAN(B94:G94)+GEOMEAN(B95:G95)+GEOMEAN(B96:G96)+GEOMEAN(B97:G97)+GEOMEAN(B98:G98))</f>
        <v>4.5839925693779864E-2</v>
      </c>
    </row>
    <row r="97" spans="1:20" ht="21.95" customHeight="1" x14ac:dyDescent="0.25">
      <c r="A97" s="2" t="s">
        <v>25</v>
      </c>
      <c r="B97" s="13">
        <f>1/F93</f>
        <v>1</v>
      </c>
      <c r="C97" s="13">
        <f>1/F94</f>
        <v>1</v>
      </c>
      <c r="D97" s="13">
        <f>1/F95</f>
        <v>0.33333333333333331</v>
      </c>
      <c r="E97" s="13">
        <f>1/F96</f>
        <v>3</v>
      </c>
      <c r="F97" s="13">
        <v>1</v>
      </c>
      <c r="G97" s="14">
        <f>1/3</f>
        <v>0.33333333333333331</v>
      </c>
      <c r="H97" s="8">
        <f>GEOMEAN(B97:G97)/(GEOMEAN(B93:G93)+GEOMEAN(B94:G94)+GEOMEAN(B95:G95)+GEOMEAN(B96:G96)+GEOMEAN(B97:G97)+GEOMEAN(B98:G98))</f>
        <v>0.11305097823241143</v>
      </c>
    </row>
    <row r="98" spans="1:20" ht="21.95" customHeight="1" x14ac:dyDescent="0.25">
      <c r="A98" s="2" t="s">
        <v>27</v>
      </c>
      <c r="B98" s="13">
        <f>1/G93</f>
        <v>3</v>
      </c>
      <c r="C98" s="13">
        <f>1/G94</f>
        <v>3</v>
      </c>
      <c r="D98" s="13">
        <f>1/G95</f>
        <v>1</v>
      </c>
      <c r="E98" s="13">
        <f>1/G96</f>
        <v>5</v>
      </c>
      <c r="F98" s="13">
        <f>1/G97</f>
        <v>3</v>
      </c>
      <c r="G98" s="13">
        <v>1</v>
      </c>
      <c r="H98" s="8">
        <f>GEOMEAN(B98:G98)/(GEOMEAN(B93:G93)+GEOMEAN(B94:G94)+GEOMEAN(B95:G95)+GEOMEAN(B96:G96)+GEOMEAN(B97:G97)+GEOMEAN(B98:G98))</f>
        <v>0.30750356980449295</v>
      </c>
    </row>
    <row r="99" spans="1:20" ht="21.95" customHeight="1" x14ac:dyDescent="0.25">
      <c r="A99" s="2" t="s">
        <v>80</v>
      </c>
      <c r="B99" s="8">
        <f>SUM(B93:B98)*H93+SUM(C93:C98)*H94+SUM(D93:D98)*H95+SUM(E93:E98)*H96+SUM(F93:F98)*H97+SUM(G93:G98)*H98</f>
        <v>6.0502487511318712</v>
      </c>
      <c r="C99" s="2" t="s">
        <v>81</v>
      </c>
      <c r="D99" s="11">
        <f>(B99-6)/5/1.24</f>
        <v>8.1046372793340676E-3</v>
      </c>
      <c r="E99" s="27" t="str">
        <f>IF(D99&lt;0.1,"согласована","пересмотреть")</f>
        <v>согласована</v>
      </c>
      <c r="F99" s="27"/>
      <c r="G99" s="27"/>
      <c r="H99" s="27"/>
    </row>
    <row r="100" spans="1:20" ht="21.95" customHeight="1" x14ac:dyDescent="0.25"/>
    <row r="101" spans="1:20" ht="21.95" customHeight="1" x14ac:dyDescent="0.25">
      <c r="A101" s="25" t="s">
        <v>82</v>
      </c>
      <c r="B101" s="25"/>
      <c r="C101" s="25"/>
      <c r="D101" s="25"/>
      <c r="E101" s="25"/>
      <c r="F101" s="25"/>
      <c r="H101" s="25" t="s">
        <v>83</v>
      </c>
      <c r="I101" s="25"/>
      <c r="J101" s="25"/>
      <c r="K101" s="25"/>
      <c r="L101" s="25"/>
      <c r="M101" s="25"/>
      <c r="O101" s="25" t="s">
        <v>84</v>
      </c>
      <c r="P101" s="25"/>
      <c r="Q101" s="25"/>
      <c r="R101" s="25"/>
      <c r="S101" s="25"/>
      <c r="T101" s="25"/>
    </row>
    <row r="102" spans="1:20" ht="21.95" customHeight="1" x14ac:dyDescent="0.25">
      <c r="A102" s="2" t="s">
        <v>65</v>
      </c>
      <c r="B102" s="2" t="s">
        <v>32</v>
      </c>
      <c r="C102" s="2" t="s">
        <v>34</v>
      </c>
      <c r="D102" s="2" t="s">
        <v>36</v>
      </c>
      <c r="E102" s="2" t="s">
        <v>38</v>
      </c>
      <c r="F102" s="2" t="s">
        <v>79</v>
      </c>
      <c r="H102" s="2" t="s">
        <v>65</v>
      </c>
      <c r="I102" s="2" t="s">
        <v>32</v>
      </c>
      <c r="J102" s="2" t="s">
        <v>34</v>
      </c>
      <c r="K102" s="2" t="s">
        <v>36</v>
      </c>
      <c r="L102" s="2" t="s">
        <v>38</v>
      </c>
      <c r="M102" s="2" t="s">
        <v>79</v>
      </c>
      <c r="O102" s="2" t="s">
        <v>65</v>
      </c>
      <c r="P102" s="2" t="s">
        <v>32</v>
      </c>
      <c r="Q102" s="2" t="s">
        <v>34</v>
      </c>
      <c r="R102" s="2" t="s">
        <v>36</v>
      </c>
      <c r="S102" s="2" t="s">
        <v>38</v>
      </c>
      <c r="T102" s="2" t="s">
        <v>79</v>
      </c>
    </row>
    <row r="103" spans="1:20" ht="21.95" customHeight="1" x14ac:dyDescent="0.25">
      <c r="A103" s="2" t="s">
        <v>32</v>
      </c>
      <c r="B103" s="13">
        <v>1</v>
      </c>
      <c r="C103" s="14">
        <v>3</v>
      </c>
      <c r="D103" s="14">
        <v>5</v>
      </c>
      <c r="E103" s="14">
        <v>5</v>
      </c>
      <c r="F103" s="8">
        <f>GEOMEAN(B103:E103)/(GEOMEAN(B103:E103)+GEOMEAN(B104:E104)+GEOMEAN(B105:E105)+GEOMEAN(B106:E106))</f>
        <v>0.55786461793954656</v>
      </c>
      <c r="H103" s="2" t="s">
        <v>32</v>
      </c>
      <c r="I103" s="13">
        <v>1</v>
      </c>
      <c r="J103" s="14">
        <f>1/3</f>
        <v>0.33333333333333331</v>
      </c>
      <c r="K103" s="14">
        <v>1</v>
      </c>
      <c r="L103" s="14">
        <v>1</v>
      </c>
      <c r="M103" s="8">
        <f>GEOMEAN(I103:L103)/(GEOMEAN(I103:L103)+GEOMEAN(I104:L104)+GEOMEAN(I105:L105)+GEOMEAN(I106:L106))</f>
        <v>0.16666666666666669</v>
      </c>
      <c r="O103" s="2" t="s">
        <v>32</v>
      </c>
      <c r="P103" s="13">
        <v>1</v>
      </c>
      <c r="Q103" s="14">
        <v>5</v>
      </c>
      <c r="R103" s="14">
        <v>7</v>
      </c>
      <c r="S103" s="14">
        <v>5</v>
      </c>
      <c r="T103" s="8">
        <f>GEOMEAN(P103:S103)/(GEOMEAN(P103:S103)+GEOMEAN(P104:S104)+GEOMEAN(P105:S105)+GEOMEAN(P106:S106))</f>
        <v>0.63229162603408529</v>
      </c>
    </row>
    <row r="104" spans="1:20" ht="21.95" customHeight="1" x14ac:dyDescent="0.25">
      <c r="A104" s="2" t="s">
        <v>34</v>
      </c>
      <c r="B104" s="13">
        <f>1/C103</f>
        <v>0.33333333333333331</v>
      </c>
      <c r="C104" s="13">
        <v>1</v>
      </c>
      <c r="D104" s="14">
        <v>3</v>
      </c>
      <c r="E104" s="14">
        <v>3</v>
      </c>
      <c r="F104" s="8">
        <f>GEOMEAN(B104:E104)/(GEOMEAN(B103:E103)+GEOMEAN(B104:E104)+GEOMEAN(B105:E105)+GEOMEAN(B106:E106))</f>
        <v>0.24948464159095499</v>
      </c>
      <c r="H104" s="2" t="s">
        <v>34</v>
      </c>
      <c r="I104" s="13">
        <f>1/J103</f>
        <v>3</v>
      </c>
      <c r="J104" s="13">
        <v>1</v>
      </c>
      <c r="K104" s="14">
        <v>3</v>
      </c>
      <c r="L104" s="14">
        <v>3</v>
      </c>
      <c r="M104" s="8">
        <f>GEOMEAN(I104:L104)/(GEOMEAN(I103:L103)+GEOMEAN(I104:L104)+GEOMEAN(I105:L105)+GEOMEAN(I106:L106))</f>
        <v>0.5</v>
      </c>
      <c r="O104" s="2" t="s">
        <v>34</v>
      </c>
      <c r="P104" s="13">
        <f>1/Q103</f>
        <v>0.2</v>
      </c>
      <c r="Q104" s="13">
        <v>1</v>
      </c>
      <c r="R104" s="14">
        <v>3</v>
      </c>
      <c r="S104" s="14">
        <v>1</v>
      </c>
      <c r="T104" s="8">
        <f>GEOMEAN(P104:S104)/(GEOMEAN(P103:S103)+GEOMEAN(P104:S104)+GEOMEAN(P105:S105)+GEOMEAN(P106:S106))</f>
        <v>0.15300151478438678</v>
      </c>
    </row>
    <row r="105" spans="1:20" ht="21.95" customHeight="1" x14ac:dyDescent="0.25">
      <c r="A105" s="2" t="s">
        <v>36</v>
      </c>
      <c r="B105" s="13">
        <f>1/D103</f>
        <v>0.2</v>
      </c>
      <c r="C105" s="13">
        <f>1/D104</f>
        <v>0.33333333333333331</v>
      </c>
      <c r="D105" s="13">
        <v>1</v>
      </c>
      <c r="E105" s="14">
        <v>1</v>
      </c>
      <c r="F105" s="8">
        <f>GEOMEAN(B105:E105)/(GEOMEAN(B103:E103)+GEOMEAN(B104:E104)+GEOMEAN(B105:E105)+GEOMEAN(B106:E106))</f>
        <v>9.6325370234749269E-2</v>
      </c>
      <c r="H105" s="2" t="s">
        <v>36</v>
      </c>
      <c r="I105" s="13">
        <f>1/K103</f>
        <v>1</v>
      </c>
      <c r="J105" s="13">
        <f>1/K104</f>
        <v>0.33333333333333331</v>
      </c>
      <c r="K105" s="13">
        <v>1</v>
      </c>
      <c r="L105" s="14">
        <v>1</v>
      </c>
      <c r="M105" s="8">
        <f>GEOMEAN(I105:L105)/(GEOMEAN(I103:L103)+GEOMEAN(I104:L104)+GEOMEAN(I105:L105)+GEOMEAN(I106:L106))</f>
        <v>0.16666666666666669</v>
      </c>
      <c r="O105" s="2" t="s">
        <v>36</v>
      </c>
      <c r="P105" s="13">
        <f>1/R103</f>
        <v>0.14285714285714285</v>
      </c>
      <c r="Q105" s="13">
        <f>1/R104</f>
        <v>0.33333333333333331</v>
      </c>
      <c r="R105" s="13">
        <v>1</v>
      </c>
      <c r="S105" s="14">
        <f>1/3</f>
        <v>0.33333333333333331</v>
      </c>
      <c r="T105" s="8">
        <f>GEOMEAN(P105:S105)/(GEOMEAN(P103:S103)+GEOMEAN(P104:S104)+GEOMEAN(P105:S105)+GEOMEAN(P106:S106))</f>
        <v>6.1705344397141045E-2</v>
      </c>
    </row>
    <row r="106" spans="1:20" ht="21.95" customHeight="1" x14ac:dyDescent="0.25">
      <c r="A106" s="2" t="s">
        <v>38</v>
      </c>
      <c r="B106" s="13">
        <f>1/E103</f>
        <v>0.2</v>
      </c>
      <c r="C106" s="13">
        <f>1/E104</f>
        <v>0.33333333333333331</v>
      </c>
      <c r="D106" s="13">
        <f>1/E105</f>
        <v>1</v>
      </c>
      <c r="E106" s="13">
        <v>1</v>
      </c>
      <c r="F106" s="8">
        <f>GEOMEAN(B106:E106)/(GEOMEAN(B103:E103)+GEOMEAN(B104:E104)+GEOMEAN(B105:E105)+GEOMEAN(B106:E106))</f>
        <v>9.6325370234749269E-2</v>
      </c>
      <c r="H106" s="2" t="s">
        <v>38</v>
      </c>
      <c r="I106" s="13">
        <f>1/L103</f>
        <v>1</v>
      </c>
      <c r="J106" s="13">
        <f>1/L104</f>
        <v>0.33333333333333331</v>
      </c>
      <c r="K106" s="13">
        <f>1/L105</f>
        <v>1</v>
      </c>
      <c r="L106" s="13">
        <v>1</v>
      </c>
      <c r="M106" s="8">
        <f>GEOMEAN(I106:L106)/(GEOMEAN(I103:L103)+GEOMEAN(I104:L104)+GEOMEAN(I105:L105)+GEOMEAN(I106:L106))</f>
        <v>0.16666666666666669</v>
      </c>
      <c r="O106" s="2" t="s">
        <v>38</v>
      </c>
      <c r="P106" s="13">
        <f>1/S103</f>
        <v>0.2</v>
      </c>
      <c r="Q106" s="13">
        <f>1/S104</f>
        <v>1</v>
      </c>
      <c r="R106" s="13">
        <f>1/S105</f>
        <v>3</v>
      </c>
      <c r="S106" s="13">
        <v>1</v>
      </c>
      <c r="T106" s="8">
        <f>GEOMEAN(P106:S106)/(GEOMEAN(P103:S103)+GEOMEAN(P104:S104)+GEOMEAN(P105:S105)+GEOMEAN(P106:S106))</f>
        <v>0.15300151478438678</v>
      </c>
    </row>
    <row r="107" spans="1:20" ht="21.95" customHeight="1" x14ac:dyDescent="0.25">
      <c r="A107" s="2" t="s">
        <v>80</v>
      </c>
      <c r="B107" s="8">
        <f>SUM(B103:B106)*F103+SUM(C103:C106)*F104+SUM(D103:D106)*F105+SUM(E103:E106)*F106</f>
        <v>4.0577344032146563</v>
      </c>
      <c r="C107" s="2" t="s">
        <v>81</v>
      </c>
      <c r="D107" s="11">
        <f>(B107-4)/3/0.9</f>
        <v>2.1383112301724547E-2</v>
      </c>
      <c r="E107" s="27" t="str">
        <f>IF(D107&lt;0.1,"согласована","пересмотреть")</f>
        <v>согласована</v>
      </c>
      <c r="F107" s="27"/>
      <c r="H107" s="2" t="s">
        <v>80</v>
      </c>
      <c r="I107" s="8">
        <f>SUM(I103:I106)*M103+SUM(J103:J106)*M104+SUM(K103:K106)*M105+SUM(L103:L106)*M106</f>
        <v>4</v>
      </c>
      <c r="J107" s="2" t="s">
        <v>81</v>
      </c>
      <c r="K107" s="11">
        <f>(I107-4)/3/0.9</f>
        <v>0</v>
      </c>
      <c r="L107" s="27" t="str">
        <f>IF(K107&lt;0.1,"согласована","пересмотреть")</f>
        <v>согласована</v>
      </c>
      <c r="M107" s="27"/>
      <c r="O107" s="2" t="s">
        <v>80</v>
      </c>
      <c r="P107" s="8">
        <f>SUM(P103:P106)*T103+SUM(Q103:Q106)*T104+SUM(R103:R106)*T105+SUM(S103:S106)*T106</f>
        <v>4.0834326899930931</v>
      </c>
      <c r="Q107" s="2" t="s">
        <v>81</v>
      </c>
      <c r="R107" s="11">
        <f>(P107-4)/3/0.9</f>
        <v>3.0900996293738169E-2</v>
      </c>
      <c r="S107" s="27" t="str">
        <f>IF(R107&lt;0.1,"согласована","пересмотреть")</f>
        <v>согласована</v>
      </c>
      <c r="T107" s="27"/>
    </row>
    <row r="108" spans="1:20" ht="21.95" customHeight="1" x14ac:dyDescent="0.25"/>
    <row r="109" spans="1:20" ht="21.95" customHeight="1" x14ac:dyDescent="0.25">
      <c r="A109" s="25" t="s">
        <v>85</v>
      </c>
      <c r="B109" s="25"/>
      <c r="C109" s="25"/>
      <c r="D109" s="25"/>
      <c r="E109" s="25"/>
      <c r="F109" s="25"/>
      <c r="H109" s="25" t="s">
        <v>86</v>
      </c>
      <c r="I109" s="25"/>
      <c r="J109" s="25"/>
      <c r="K109" s="25"/>
      <c r="L109" s="25"/>
      <c r="M109" s="25"/>
      <c r="O109" s="25" t="s">
        <v>87</v>
      </c>
      <c r="P109" s="25"/>
      <c r="Q109" s="25"/>
      <c r="R109" s="25"/>
      <c r="S109" s="25"/>
      <c r="T109" s="25"/>
    </row>
    <row r="110" spans="1:20" ht="21.95" customHeight="1" x14ac:dyDescent="0.25">
      <c r="A110" s="2" t="s">
        <v>65</v>
      </c>
      <c r="B110" s="2" t="s">
        <v>32</v>
      </c>
      <c r="C110" s="2" t="s">
        <v>34</v>
      </c>
      <c r="D110" s="2" t="s">
        <v>36</v>
      </c>
      <c r="E110" s="2" t="s">
        <v>38</v>
      </c>
      <c r="F110" s="2" t="s">
        <v>79</v>
      </c>
      <c r="H110" s="2" t="s">
        <v>65</v>
      </c>
      <c r="I110" s="2" t="s">
        <v>32</v>
      </c>
      <c r="J110" s="2" t="s">
        <v>34</v>
      </c>
      <c r="K110" s="2" t="s">
        <v>36</v>
      </c>
      <c r="L110" s="2" t="s">
        <v>38</v>
      </c>
      <c r="M110" s="2" t="s">
        <v>79</v>
      </c>
      <c r="O110" s="2" t="s">
        <v>65</v>
      </c>
      <c r="P110" s="2" t="s">
        <v>32</v>
      </c>
      <c r="Q110" s="2" t="s">
        <v>34</v>
      </c>
      <c r="R110" s="2" t="s">
        <v>36</v>
      </c>
      <c r="S110" s="2" t="s">
        <v>38</v>
      </c>
      <c r="T110" s="2" t="s">
        <v>79</v>
      </c>
    </row>
    <row r="111" spans="1:20" ht="21.95" customHeight="1" x14ac:dyDescent="0.25">
      <c r="A111" s="2" t="s">
        <v>32</v>
      </c>
      <c r="B111" s="13">
        <v>1</v>
      </c>
      <c r="C111" s="14">
        <v>3</v>
      </c>
      <c r="D111" s="14">
        <v>3</v>
      </c>
      <c r="E111" s="14">
        <v>5</v>
      </c>
      <c r="F111" s="8">
        <f>GEOMEAN(B111:E111)/(GEOMEAN(B111:E111)+GEOMEAN(B112:E112)+GEOMEAN(B113:E113)+GEOMEAN(B114:E114))</f>
        <v>0.52049013821387369</v>
      </c>
      <c r="H111" s="2" t="s">
        <v>32</v>
      </c>
      <c r="I111" s="13">
        <v>1</v>
      </c>
      <c r="J111" s="14">
        <v>3</v>
      </c>
      <c r="K111" s="14">
        <v>5</v>
      </c>
      <c r="L111" s="14">
        <v>9</v>
      </c>
      <c r="M111" s="8">
        <f>GEOMEAN(I111:L111)/(GEOMEAN(I111:L111)+GEOMEAN(I112:L112)+GEOMEAN(I113:L113)+GEOMEAN(I114:L114))</f>
        <v>0.56505476632870388</v>
      </c>
      <c r="O111" s="2" t="s">
        <v>32</v>
      </c>
      <c r="P111" s="13">
        <v>1</v>
      </c>
      <c r="Q111" s="14">
        <v>5</v>
      </c>
      <c r="R111" s="14">
        <v>2</v>
      </c>
      <c r="S111" s="14">
        <v>9</v>
      </c>
      <c r="T111" s="8">
        <f>GEOMEAN(P111:S111)/(GEOMEAN(P111:S111)+GEOMEAN(P112:S112)+GEOMEAN(P113:S113)+GEOMEAN(P114:S114))</f>
        <v>0.52147643681278177</v>
      </c>
    </row>
    <row r="112" spans="1:20" ht="21.95" customHeight="1" x14ac:dyDescent="0.25">
      <c r="A112" s="2" t="s">
        <v>34</v>
      </c>
      <c r="B112" s="13">
        <f>1/C111</f>
        <v>0.33333333333333331</v>
      </c>
      <c r="C112" s="13">
        <v>1</v>
      </c>
      <c r="D112" s="14">
        <v>1</v>
      </c>
      <c r="E112" s="14">
        <v>3</v>
      </c>
      <c r="F112" s="8">
        <f>GEOMEAN(B112:E112)/(GEOMEAN(B111:E111)+GEOMEAN(B112:E112)+GEOMEAN(B113:E113)+GEOMEAN(B114:E114))</f>
        <v>0.20095988653758035</v>
      </c>
      <c r="H112" s="2" t="s">
        <v>34</v>
      </c>
      <c r="I112" s="13">
        <f>1/J111</f>
        <v>0.33333333333333331</v>
      </c>
      <c r="J112" s="13">
        <v>1</v>
      </c>
      <c r="K112" s="14">
        <v>3</v>
      </c>
      <c r="L112" s="14">
        <v>7</v>
      </c>
      <c r="M112" s="8">
        <f>GEOMEAN(I112:L112)/(GEOMEAN(I111:L111)+GEOMEAN(I112:L112)+GEOMEAN(I113:L113)+GEOMEAN(I114:L114))</f>
        <v>0.2696383187116943</v>
      </c>
      <c r="O112" s="2" t="s">
        <v>34</v>
      </c>
      <c r="P112" s="13">
        <f>1/Q111</f>
        <v>0.2</v>
      </c>
      <c r="Q112" s="13">
        <v>1</v>
      </c>
      <c r="R112" s="14">
        <f>1/4</f>
        <v>0.25</v>
      </c>
      <c r="S112" s="14">
        <v>3</v>
      </c>
      <c r="T112" s="8">
        <f>GEOMEAN(P112:S112)/(GEOMEAN(P111:S111)+GEOMEAN(P112:S112)+GEOMEAN(P113:S113)+GEOMEAN(P114:S114))</f>
        <v>0.10536512259037452</v>
      </c>
    </row>
    <row r="113" spans="1:20" ht="21.95" customHeight="1" x14ac:dyDescent="0.25">
      <c r="A113" s="2" t="s">
        <v>36</v>
      </c>
      <c r="B113" s="13">
        <f>1/D111</f>
        <v>0.33333333333333331</v>
      </c>
      <c r="C113" s="13">
        <f>1/D112</f>
        <v>1</v>
      </c>
      <c r="D113" s="13">
        <v>1</v>
      </c>
      <c r="E113" s="14">
        <v>3</v>
      </c>
      <c r="F113" s="8">
        <f>GEOMEAN(B113:E113)/(GEOMEAN(B111:E111)+GEOMEAN(B112:E112)+GEOMEAN(B113:E113)+GEOMEAN(B114:E114))</f>
        <v>0.20095988653758035</v>
      </c>
      <c r="H113" s="2" t="s">
        <v>36</v>
      </c>
      <c r="I113" s="13">
        <f>1/K111</f>
        <v>0.2</v>
      </c>
      <c r="J113" s="13">
        <f>1/K112</f>
        <v>0.33333333333333331</v>
      </c>
      <c r="K113" s="13">
        <v>1</v>
      </c>
      <c r="L113" s="14">
        <v>5</v>
      </c>
      <c r="M113" s="8">
        <f>GEOMEAN(I113:L113)/(GEOMEAN(I111:L111)+GEOMEAN(I112:L112)+GEOMEAN(I113:L113)+GEOMEAN(I114:L114))</f>
        <v>0.12595829892101279</v>
      </c>
      <c r="O113" s="2" t="s">
        <v>36</v>
      </c>
      <c r="P113" s="13">
        <f>1/R111</f>
        <v>0.5</v>
      </c>
      <c r="Q113" s="13">
        <f>1/R112</f>
        <v>4</v>
      </c>
      <c r="R113" s="13">
        <v>1</v>
      </c>
      <c r="S113" s="14">
        <v>7</v>
      </c>
      <c r="T113" s="8">
        <f>GEOMEAN(P113:S113)/(GEOMEAN(P111:S111)+GEOMEAN(P112:S112)+GEOMEAN(P113:S113)+GEOMEAN(P114:S114))</f>
        <v>0.32749605354442535</v>
      </c>
    </row>
    <row r="114" spans="1:20" ht="21.95" customHeight="1" x14ac:dyDescent="0.25">
      <c r="A114" s="2" t="s">
        <v>38</v>
      </c>
      <c r="B114" s="13">
        <f>1/E111</f>
        <v>0.2</v>
      </c>
      <c r="C114" s="13">
        <f>1/E112</f>
        <v>0.33333333333333331</v>
      </c>
      <c r="D114" s="13">
        <f>1/E113</f>
        <v>0.33333333333333331</v>
      </c>
      <c r="E114" s="13">
        <v>1</v>
      </c>
      <c r="F114" s="8">
        <f>GEOMEAN(B114:E114)/(GEOMEAN(B111:E111)+GEOMEAN(B112:E112)+GEOMEAN(B113:E113)+GEOMEAN(B114:E114))</f>
        <v>7.759008871096551E-2</v>
      </c>
      <c r="H114" s="2" t="s">
        <v>38</v>
      </c>
      <c r="I114" s="13">
        <f>1/L111</f>
        <v>0.1111111111111111</v>
      </c>
      <c r="J114" s="13">
        <f>1/L112</f>
        <v>0.14285714285714285</v>
      </c>
      <c r="K114" s="13">
        <f>1/L113</f>
        <v>0.2</v>
      </c>
      <c r="L114" s="13">
        <v>1</v>
      </c>
      <c r="M114" s="8">
        <f>GEOMEAN(I114:L114)/(GEOMEAN(I111:L111)+GEOMEAN(I112:L112)+GEOMEAN(I113:L113)+GEOMEAN(I114:L114))</f>
        <v>3.9348616038589135E-2</v>
      </c>
      <c r="O114" s="2" t="s">
        <v>38</v>
      </c>
      <c r="P114" s="13">
        <f>1/S111</f>
        <v>0.1111111111111111</v>
      </c>
      <c r="Q114" s="13">
        <f>1/S112</f>
        <v>0.33333333333333331</v>
      </c>
      <c r="R114" s="13">
        <f>1/S113</f>
        <v>0.14285714285714285</v>
      </c>
      <c r="S114" s="13">
        <v>1</v>
      </c>
      <c r="T114" s="8">
        <f>GEOMEAN(P114:S114)/(GEOMEAN(P111:S111)+GEOMEAN(P112:S112)+GEOMEAN(P113:S113)+GEOMEAN(P114:S114))</f>
        <v>4.566238705241836E-2</v>
      </c>
    </row>
    <row r="115" spans="1:20" ht="21.95" customHeight="1" x14ac:dyDescent="0.25">
      <c r="A115" s="2" t="s">
        <v>80</v>
      </c>
      <c r="B115" s="8">
        <f>SUM(B111:B114)*F111+SUM(C111:C114)*F112+SUM(D111:D114)*F113+SUM(E111:E114)*F114</f>
        <v>4.0462347789316739</v>
      </c>
      <c r="C115" s="2" t="s">
        <v>81</v>
      </c>
      <c r="D115" s="11">
        <f>(B115-4)/3/0.9</f>
        <v>1.7123992196916273E-2</v>
      </c>
      <c r="E115" s="27" t="str">
        <f>IF(D115&lt;0.1,"согласована","пересмотреть")</f>
        <v>согласована</v>
      </c>
      <c r="F115" s="27"/>
      <c r="H115" s="2" t="s">
        <v>80</v>
      </c>
      <c r="I115" s="8">
        <f>SUM(I111:I114)*M111+SUM(J111:J114)*M112+SUM(K111:K114)*M113+SUM(L111:L114)*M114</f>
        <v>4.1606395484516678</v>
      </c>
      <c r="J115" s="2" t="s">
        <v>81</v>
      </c>
      <c r="K115" s="11">
        <f>(I115-4)/3/0.9</f>
        <v>5.9496129056173269E-2</v>
      </c>
      <c r="L115" s="27" t="str">
        <f>IF(K115&lt;0.1,"согласована","пересмотреть")</f>
        <v>согласована</v>
      </c>
      <c r="M115" s="27"/>
      <c r="O115" s="2" t="s">
        <v>80</v>
      </c>
      <c r="P115" s="8">
        <f>SUM(P111:P114)*T111+SUM(Q111:Q114)*T112+SUM(R111:R114)*T113+SUM(S111:S114)*T114</f>
        <v>4.0576197679022261</v>
      </c>
      <c r="Q115" s="2" t="s">
        <v>81</v>
      </c>
      <c r="R115" s="11">
        <f>(P115-4)/3/0.9</f>
        <v>2.1340654778602263E-2</v>
      </c>
      <c r="S115" s="27" t="str">
        <f>IF(R115&lt;0.1,"согласована","пересмотреть")</f>
        <v>согласована</v>
      </c>
      <c r="T115" s="27"/>
    </row>
  </sheetData>
  <mergeCells count="64">
    <mergeCell ref="A109:F109"/>
    <mergeCell ref="H109:M109"/>
    <mergeCell ref="O109:T109"/>
    <mergeCell ref="E115:F115"/>
    <mergeCell ref="L115:M115"/>
    <mergeCell ref="S115:T115"/>
    <mergeCell ref="E99:H99"/>
    <mergeCell ref="A101:F101"/>
    <mergeCell ref="H101:M101"/>
    <mergeCell ref="O101:T101"/>
    <mergeCell ref="E107:F107"/>
    <mergeCell ref="L107:M107"/>
    <mergeCell ref="S107:T107"/>
    <mergeCell ref="E87:F87"/>
    <mergeCell ref="L87:M87"/>
    <mergeCell ref="S87:T87"/>
    <mergeCell ref="A90:T90"/>
    <mergeCell ref="A91:H91"/>
    <mergeCell ref="E79:F79"/>
    <mergeCell ref="L79:M79"/>
    <mergeCell ref="S79:T79"/>
    <mergeCell ref="A81:F81"/>
    <mergeCell ref="H81:M81"/>
    <mergeCell ref="O81:T81"/>
    <mergeCell ref="A62:T62"/>
    <mergeCell ref="A63:H63"/>
    <mergeCell ref="E71:H71"/>
    <mergeCell ref="A73:F73"/>
    <mergeCell ref="H73:M73"/>
    <mergeCell ref="O73:T73"/>
    <mergeCell ref="A53:F53"/>
    <mergeCell ref="H53:M53"/>
    <mergeCell ref="O53:T53"/>
    <mergeCell ref="E59:F59"/>
    <mergeCell ref="L59:M59"/>
    <mergeCell ref="S59:T59"/>
    <mergeCell ref="E43:H43"/>
    <mergeCell ref="A45:F45"/>
    <mergeCell ref="H45:M45"/>
    <mergeCell ref="O45:T45"/>
    <mergeCell ref="E51:F51"/>
    <mergeCell ref="L51:M51"/>
    <mergeCell ref="S51:T51"/>
    <mergeCell ref="E31:F31"/>
    <mergeCell ref="L31:M31"/>
    <mergeCell ref="S31:T31"/>
    <mergeCell ref="A34:T34"/>
    <mergeCell ref="A35:H35"/>
    <mergeCell ref="E23:F23"/>
    <mergeCell ref="L23:M23"/>
    <mergeCell ref="S23:T23"/>
    <mergeCell ref="A25:F25"/>
    <mergeCell ref="H25:M25"/>
    <mergeCell ref="O25:T25"/>
    <mergeCell ref="A7:H7"/>
    <mergeCell ref="E15:H15"/>
    <mergeCell ref="A17:F17"/>
    <mergeCell ref="H17:M17"/>
    <mergeCell ref="O17:T17"/>
    <mergeCell ref="A1:T1"/>
    <mergeCell ref="A2:T2"/>
    <mergeCell ref="A3:T3"/>
    <mergeCell ref="A4:T4"/>
    <mergeCell ref="A6:T6"/>
  </mergeCells>
  <conditionalFormatting sqref="D15">
    <cfRule type="cellIs" dxfId="37" priority="1" operator="greaterThanOrEqual">
      <formula>0.1</formula>
    </cfRule>
  </conditionalFormatting>
  <conditionalFormatting sqref="D23">
    <cfRule type="cellIs" dxfId="36" priority="2" operator="greaterThanOrEqual">
      <formula>0.1</formula>
    </cfRule>
  </conditionalFormatting>
  <conditionalFormatting sqref="D31">
    <cfRule type="cellIs" dxfId="35" priority="5" operator="greaterThanOrEqual">
      <formula>0.1</formula>
    </cfRule>
  </conditionalFormatting>
  <conditionalFormatting sqref="D43">
    <cfRule type="cellIs" dxfId="34" priority="8" operator="greaterThanOrEqual">
      <formula>0.1</formula>
    </cfRule>
  </conditionalFormatting>
  <conditionalFormatting sqref="D51">
    <cfRule type="cellIs" dxfId="33" priority="9" operator="greaterThanOrEqual">
      <formula>0.1</formula>
    </cfRule>
  </conditionalFormatting>
  <conditionalFormatting sqref="D59">
    <cfRule type="cellIs" dxfId="32" priority="12" operator="greaterThanOrEqual">
      <formula>0.1</formula>
    </cfRule>
  </conditionalFormatting>
  <conditionalFormatting sqref="D71">
    <cfRule type="cellIs" dxfId="31" priority="15" operator="greaterThanOrEqual">
      <formula>0.1</formula>
    </cfRule>
  </conditionalFormatting>
  <conditionalFormatting sqref="D79">
    <cfRule type="cellIs" dxfId="30" priority="16" operator="greaterThanOrEqual">
      <formula>0.1</formula>
    </cfRule>
  </conditionalFormatting>
  <conditionalFormatting sqref="D87">
    <cfRule type="cellIs" dxfId="29" priority="19" operator="greaterThanOrEqual">
      <formula>0.1</formula>
    </cfRule>
  </conditionalFormatting>
  <conditionalFormatting sqref="D99">
    <cfRule type="cellIs" dxfId="28" priority="22" operator="greaterThanOrEqual">
      <formula>0.1</formula>
    </cfRule>
  </conditionalFormatting>
  <conditionalFormatting sqref="D107">
    <cfRule type="cellIs" dxfId="27" priority="23" operator="greaterThanOrEqual">
      <formula>0.1</formula>
    </cfRule>
  </conditionalFormatting>
  <conditionalFormatting sqref="D115">
    <cfRule type="cellIs" dxfId="26" priority="26" operator="greaterThanOrEqual">
      <formula>0.1</formula>
    </cfRule>
  </conditionalFormatting>
  <conditionalFormatting sqref="K23">
    <cfRule type="cellIs" dxfId="25" priority="3" operator="greaterThanOrEqual">
      <formula>0.1</formula>
    </cfRule>
  </conditionalFormatting>
  <conditionalFormatting sqref="K31">
    <cfRule type="cellIs" dxfId="24" priority="6" operator="greaterThanOrEqual">
      <formula>0.1</formula>
    </cfRule>
  </conditionalFormatting>
  <conditionalFormatting sqref="K51">
    <cfRule type="cellIs" dxfId="23" priority="10" operator="greaterThanOrEqual">
      <formula>0.1</formula>
    </cfRule>
  </conditionalFormatting>
  <conditionalFormatting sqref="K59">
    <cfRule type="cellIs" dxfId="22" priority="13" operator="greaterThanOrEqual">
      <formula>0.1</formula>
    </cfRule>
  </conditionalFormatting>
  <conditionalFormatting sqref="K79">
    <cfRule type="cellIs" dxfId="21" priority="17" operator="greaterThanOrEqual">
      <formula>0.1</formula>
    </cfRule>
  </conditionalFormatting>
  <conditionalFormatting sqref="K87">
    <cfRule type="cellIs" dxfId="20" priority="20" operator="greaterThanOrEqual">
      <formula>0.1</formula>
    </cfRule>
  </conditionalFormatting>
  <conditionalFormatting sqref="K107">
    <cfRule type="cellIs" dxfId="19" priority="24" operator="greaterThanOrEqual">
      <formula>0.1</formula>
    </cfRule>
  </conditionalFormatting>
  <conditionalFormatting sqref="K115">
    <cfRule type="cellIs" dxfId="18" priority="27" operator="greaterThanOrEqual">
      <formula>0.1</formula>
    </cfRule>
  </conditionalFormatting>
  <conditionalFormatting sqref="R23">
    <cfRule type="cellIs" dxfId="17" priority="4" operator="greaterThanOrEqual">
      <formula>0.1</formula>
    </cfRule>
  </conditionalFormatting>
  <conditionalFormatting sqref="R31">
    <cfRule type="cellIs" dxfId="16" priority="7" operator="greaterThanOrEqual">
      <formula>0.1</formula>
    </cfRule>
  </conditionalFormatting>
  <conditionalFormatting sqref="R51">
    <cfRule type="cellIs" dxfId="15" priority="11" operator="greaterThanOrEqual">
      <formula>0.1</formula>
    </cfRule>
  </conditionalFormatting>
  <conditionalFormatting sqref="R59">
    <cfRule type="cellIs" dxfId="14" priority="14" operator="greaterThanOrEqual">
      <formula>0.1</formula>
    </cfRule>
  </conditionalFormatting>
  <conditionalFormatting sqref="R79">
    <cfRule type="cellIs" dxfId="13" priority="18" operator="greaterThanOrEqual">
      <formula>0.1</formula>
    </cfRule>
  </conditionalFormatting>
  <conditionalFormatting sqref="R87">
    <cfRule type="cellIs" dxfId="12" priority="21" operator="greaterThanOrEqual">
      <formula>0.1</formula>
    </cfRule>
  </conditionalFormatting>
  <conditionalFormatting sqref="R107">
    <cfRule type="cellIs" dxfId="11" priority="25" operator="greaterThanOrEqual">
      <formula>0.1</formula>
    </cfRule>
  </conditionalFormatting>
  <conditionalFormatting sqref="R115">
    <cfRule type="cellIs" dxfId="10" priority="28" operator="greaterThanOrEqual">
      <formula>0.1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workbookViewId="0"/>
  </sheetViews>
  <sheetFormatPr defaultRowHeight="15" x14ac:dyDescent="0.25"/>
  <cols>
    <col min="8" max="8" width="13" customWidth="1"/>
  </cols>
  <sheetData>
    <row r="1" spans="1:20" ht="26.1" customHeight="1" x14ac:dyDescent="0.25">
      <c r="A1" s="22" t="s">
        <v>91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spans="1:20" ht="21.95" customHeight="1" x14ac:dyDescent="0.25">
      <c r="A2" s="23" t="s">
        <v>92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spans="1:20" ht="21.95" customHeight="1" x14ac:dyDescent="0.25">
      <c r="A3" s="23" t="s">
        <v>93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1:20" ht="21.95" customHeight="1" x14ac:dyDescent="0.25"/>
    <row r="5" spans="1:20" ht="21.95" customHeight="1" x14ac:dyDescent="0.25">
      <c r="A5" s="1" t="s">
        <v>94</v>
      </c>
    </row>
    <row r="6" spans="1:20" ht="21.95" customHeight="1" x14ac:dyDescent="0.25">
      <c r="A6" s="20" t="s">
        <v>95</v>
      </c>
      <c r="B6" s="20"/>
      <c r="C6" s="20" t="s">
        <v>96</v>
      </c>
      <c r="D6" s="20"/>
      <c r="E6" s="2" t="s">
        <v>15</v>
      </c>
      <c r="F6" s="2" t="s">
        <v>18</v>
      </c>
      <c r="G6" s="2" t="s">
        <v>21</v>
      </c>
      <c r="H6" s="2" t="s">
        <v>23</v>
      </c>
      <c r="I6" s="2" t="s">
        <v>25</v>
      </c>
      <c r="J6" s="2" t="s">
        <v>27</v>
      </c>
    </row>
    <row r="7" spans="1:20" ht="21.95" customHeight="1" x14ac:dyDescent="0.25">
      <c r="A7" s="20" t="s">
        <v>97</v>
      </c>
      <c r="B7" s="20"/>
      <c r="C7" s="28">
        <f>'МАИ оценки'!D15</f>
        <v>6.2488380016908597E-3</v>
      </c>
      <c r="D7" s="28"/>
      <c r="E7" s="8">
        <f>'МАИ оценки'!D23</f>
        <v>3.0699216631671733E-3</v>
      </c>
      <c r="F7" s="8">
        <f>'МАИ оценки'!K23</f>
        <v>3.0699216631668446E-3</v>
      </c>
      <c r="G7" s="8">
        <f>'МАИ оценки'!R23</f>
        <v>3.0699216631671733E-3</v>
      </c>
      <c r="H7" s="8">
        <f>'МАИ оценки'!D31</f>
        <v>3.9679961259762196E-3</v>
      </c>
      <c r="I7" s="8">
        <f>'МАИ оценки'!K31</f>
        <v>1.7909610840853359E-2</v>
      </c>
      <c r="J7" s="8">
        <f>'МАИ оценки'!R31</f>
        <v>7.0625126046658581E-3</v>
      </c>
    </row>
    <row r="8" spans="1:20" ht="21.95" customHeight="1" x14ac:dyDescent="0.25">
      <c r="A8" s="20" t="s">
        <v>98</v>
      </c>
      <c r="B8" s="20"/>
      <c r="C8" s="28">
        <f>'МАИ оценки'!D43</f>
        <v>3.4587962774677732E-2</v>
      </c>
      <c r="D8" s="28"/>
      <c r="E8" s="8">
        <f>'МАИ оценки'!D51</f>
        <v>2.3397374682346199E-2</v>
      </c>
      <c r="F8" s="8">
        <f>'МАИ оценки'!K51</f>
        <v>2.3397374682346529E-2</v>
      </c>
      <c r="G8" s="8">
        <f>'МАИ оценки'!R51</f>
        <v>3.2121417815816448E-2</v>
      </c>
      <c r="H8" s="8">
        <f>'МАИ оценки'!D59</f>
        <v>2.2753188039990293E-2</v>
      </c>
      <c r="I8" s="8">
        <f>'МАИ оценки'!K59</f>
        <v>6.6888004368072171E-2</v>
      </c>
      <c r="J8" s="8">
        <f>'МАИ оценки'!R59</f>
        <v>7.5483719212091419E-2</v>
      </c>
    </row>
    <row r="9" spans="1:20" ht="21.95" customHeight="1" x14ac:dyDescent="0.25">
      <c r="A9" s="20" t="s">
        <v>99</v>
      </c>
      <c r="B9" s="20"/>
      <c r="C9" s="28">
        <f>'МАИ оценки'!D71</f>
        <v>2.0266081918119998E-2</v>
      </c>
      <c r="D9" s="28"/>
      <c r="E9" s="8">
        <f>'МАИ оценки'!D79</f>
        <v>4.6977911530342873E-3</v>
      </c>
      <c r="F9" s="8">
        <f>'МАИ оценки'!K79</f>
        <v>3.0699216631671733E-3</v>
      </c>
      <c r="G9" s="8">
        <f>'МАИ оценки'!R79</f>
        <v>4.6977911530342873E-3</v>
      </c>
      <c r="H9" s="8">
        <f>'МАИ оценки'!D87</f>
        <v>3.2895497025930562E-16</v>
      </c>
      <c r="I9" s="8">
        <f>'МАИ оценки'!K87</f>
        <v>7.9792323428173467E-3</v>
      </c>
      <c r="J9" s="8">
        <f>'МАИ оценки'!R87</f>
        <v>1.8004914638322472E-2</v>
      </c>
    </row>
    <row r="10" spans="1:20" ht="21.95" customHeight="1" x14ac:dyDescent="0.25">
      <c r="A10" s="20" t="s">
        <v>100</v>
      </c>
      <c r="B10" s="20"/>
      <c r="C10" s="28">
        <f>'МАИ оценки'!D99</f>
        <v>8.1046372793340676E-3</v>
      </c>
      <c r="D10" s="28"/>
      <c r="E10" s="8">
        <f>'МАИ оценки'!D107</f>
        <v>2.1383112301724547E-2</v>
      </c>
      <c r="F10" s="8">
        <f>'МАИ оценки'!K107</f>
        <v>0</v>
      </c>
      <c r="G10" s="8">
        <f>'МАИ оценки'!R107</f>
        <v>3.0900996293738169E-2</v>
      </c>
      <c r="H10" s="8">
        <f>'МАИ оценки'!D115</f>
        <v>1.7123992196916273E-2</v>
      </c>
      <c r="I10" s="8">
        <f>'МАИ оценки'!K115</f>
        <v>5.9496129056173269E-2</v>
      </c>
      <c r="J10" s="8">
        <f>'МАИ оценки'!R115</f>
        <v>2.1340654778602263E-2</v>
      </c>
    </row>
    <row r="11" spans="1:20" ht="21.95" customHeight="1" x14ac:dyDescent="0.25">
      <c r="A11" s="25" t="s">
        <v>101</v>
      </c>
      <c r="B11" s="25"/>
      <c r="C11" s="25"/>
      <c r="D11" s="25"/>
      <c r="E11" s="25"/>
      <c r="F11" s="25"/>
      <c r="G11" s="12">
        <f>COUNTIF(C7:K10,"&gt;=0.1")</f>
        <v>0</v>
      </c>
    </row>
    <row r="12" spans="1:20" ht="21.95" customHeight="1" x14ac:dyDescent="0.25"/>
    <row r="13" spans="1:20" ht="21.95" customHeight="1" x14ac:dyDescent="0.25">
      <c r="A13" s="1" t="s">
        <v>102</v>
      </c>
    </row>
    <row r="14" spans="1:20" ht="21.95" customHeight="1" x14ac:dyDescent="0.25">
      <c r="A14" s="25" t="s">
        <v>78</v>
      </c>
      <c r="B14" s="25"/>
      <c r="C14" s="25"/>
      <c r="D14" s="25"/>
      <c r="E14" s="25"/>
      <c r="F14" s="25"/>
      <c r="G14" s="25"/>
      <c r="H14" s="25"/>
    </row>
    <row r="15" spans="1:20" ht="21.95" customHeight="1" x14ac:dyDescent="0.25">
      <c r="A15" s="2" t="s">
        <v>65</v>
      </c>
      <c r="B15" s="2" t="s">
        <v>15</v>
      </c>
      <c r="C15" s="2" t="s">
        <v>18</v>
      </c>
      <c r="D15" s="2" t="s">
        <v>21</v>
      </c>
      <c r="E15" s="2" t="s">
        <v>23</v>
      </c>
      <c r="F15" s="2" t="s">
        <v>25</v>
      </c>
      <c r="G15" s="2" t="s">
        <v>27</v>
      </c>
      <c r="H15" s="2" t="s">
        <v>79</v>
      </c>
    </row>
    <row r="16" spans="1:20" ht="21.95" customHeight="1" x14ac:dyDescent="0.25">
      <c r="A16" s="2" t="s">
        <v>15</v>
      </c>
      <c r="B16" s="8">
        <f>GEOMEAN('МАИ оценки'!B9,'МАИ оценки'!B37,'МАИ оценки'!B65,'МАИ оценки'!B93)</f>
        <v>1</v>
      </c>
      <c r="C16" s="8">
        <f>GEOMEAN('МАИ оценки'!C9,'МАИ оценки'!C37,'МАИ оценки'!C65,'МАИ оценки'!C93)</f>
        <v>1.2778862084925449</v>
      </c>
      <c r="D16" s="8">
        <f>GEOMEAN('МАИ оценки'!D9,'МАИ оценки'!D37,'МАИ оценки'!D65,'МАИ оценки'!D93)</f>
        <v>1.8612097182041991</v>
      </c>
      <c r="E16" s="8">
        <f>GEOMEAN('МАИ оценки'!E9,'МАИ оценки'!E37,'МАИ оценки'!E65,'МАИ оценки'!E93)</f>
        <v>3.8336586254776348</v>
      </c>
      <c r="F16" s="8">
        <f>GEOMEAN('МАИ оценки'!F9,'МАИ оценки'!F37,'МАИ оценки'!F65,'МАИ оценки'!F93)</f>
        <v>1.8612097182041991</v>
      </c>
      <c r="G16" s="8">
        <f>GEOMEAN('МАИ оценки'!G9,'МАИ оценки'!G37,'МАИ оценки'!G65,'МАИ оценки'!G93)</f>
        <v>1.4953487812212205</v>
      </c>
      <c r="H16" s="8">
        <f>GEOMEAN(B16:G16)/(GEOMEAN(B16:G16)+GEOMEAN(B17:G17)+GEOMEAN(B18:G18)+GEOMEAN(B19:G19)+GEOMEAN(B20:G20)+GEOMEAN(B21:G21))</f>
        <v>0.26364308595618513</v>
      </c>
    </row>
    <row r="17" spans="1:20" ht="21.95" customHeight="1" x14ac:dyDescent="0.25">
      <c r="A17" s="2" t="s">
        <v>18</v>
      </c>
      <c r="B17" s="8">
        <f>GEOMEAN('МАИ оценки'!B10,'МАИ оценки'!B38,'МАИ оценки'!B66,'МАИ оценки'!B94)</f>
        <v>0.78254229003664366</v>
      </c>
      <c r="C17" s="8">
        <f>GEOMEAN('МАИ оценки'!C10,'МАИ оценки'!C38,'МАИ оценки'!C66,'МАИ оценки'!C94)</f>
        <v>1</v>
      </c>
      <c r="D17" s="8">
        <f>GEOMEAN('МАИ оценки'!D10,'МАИ оценки'!D38,'МАИ оценки'!D66,'МАИ оценки'!D94)</f>
        <v>1.189207115002721</v>
      </c>
      <c r="E17" s="8">
        <f>GEOMEAN('МАИ оценки'!E10,'МАИ оценки'!E38,'МАИ оценки'!E66,'МАИ оценки'!E94)</f>
        <v>3.2237097954706257</v>
      </c>
      <c r="F17" s="8">
        <f>GEOMEAN('МАИ оценки'!F10,'МАИ оценки'!F38,'МАИ оценки'!F66,'МАИ оценки'!F94)</f>
        <v>1.074569931823542</v>
      </c>
      <c r="G17" s="8">
        <f>GEOMEAN('МАИ оценки'!G10,'МАИ оценки'!G38,'МАИ оценки'!G66,'МАИ оценки'!G94)</f>
        <v>1.4142135623730949</v>
      </c>
      <c r="H17" s="8">
        <f>GEOMEAN(B17:G17)/(GEOMEAN(B16:G16)+GEOMEAN(B17:G17)+GEOMEAN(B18:G18)+GEOMEAN(B19:G19)+GEOMEAN(B20:G20)+GEOMEAN(B21:G21))</f>
        <v>0.19804098834613351</v>
      </c>
    </row>
    <row r="18" spans="1:20" ht="21.95" customHeight="1" x14ac:dyDescent="0.25">
      <c r="A18" s="2" t="s">
        <v>21</v>
      </c>
      <c r="B18" s="8">
        <f>GEOMEAN('МАИ оценки'!B11,'МАИ оценки'!B39,'МАИ оценки'!B67,'МАИ оценки'!B95)</f>
        <v>0.537284965911771</v>
      </c>
      <c r="C18" s="8">
        <f>GEOMEAN('МАИ оценки'!C11,'МАИ оценки'!C39,'МАИ оценки'!C67,'МАИ оценки'!C95)</f>
        <v>0.8408964152537145</v>
      </c>
      <c r="D18" s="8">
        <f>GEOMEAN('МАИ оценки'!D11,'МАИ оценки'!D39,'МАИ оценки'!D67,'МАИ оценки'!D95)</f>
        <v>1</v>
      </c>
      <c r="E18" s="8">
        <f>GEOMEAN('МАИ оценки'!E11,'МАИ оценки'!E39,'МАИ оценки'!E67,'МАИ оценки'!E95)</f>
        <v>1.9108855844087336</v>
      </c>
      <c r="F18" s="8">
        <f>GEOMEAN('МАИ оценки'!F11,'МАИ оценки'!F39,'МАИ оценки'!F67,'МАИ оценки'!F95)</f>
        <v>0.70710678118654757</v>
      </c>
      <c r="G18" s="8">
        <f>GEOMEAN('МАИ оценки'!G11,'МАИ оценки'!G39,'МАИ оценки'!G67,'МАИ оценки'!G95)</f>
        <v>0.93060485910209956</v>
      </c>
      <c r="H18" s="8">
        <f>GEOMEAN(B18:G18)/(GEOMEAN(B16:G16)+GEOMEAN(B17:G17)+GEOMEAN(B18:G18)+GEOMEAN(B19:G19)+GEOMEAN(B20:G20)+GEOMEAN(B21:G21))</f>
        <v>0.13996366116919301</v>
      </c>
    </row>
    <row r="19" spans="1:20" ht="21.95" customHeight="1" x14ac:dyDescent="0.25">
      <c r="A19" s="2" t="s">
        <v>23</v>
      </c>
      <c r="B19" s="8">
        <f>GEOMEAN('МАИ оценки'!B12,'МАИ оценки'!B40,'МАИ оценки'!B68,'МАИ оценки'!B96)</f>
        <v>0.26084743001221455</v>
      </c>
      <c r="C19" s="8">
        <f>GEOMEAN('МАИ оценки'!C12,'МАИ оценки'!C40,'МАИ оценки'!C68,'МАИ оценки'!C96)</f>
        <v>0.31020161970069987</v>
      </c>
      <c r="D19" s="8">
        <f>GEOMEAN('МАИ оценки'!D12,'МАИ оценки'!D40,'МАИ оценки'!D68,'МАИ оценки'!D96)</f>
        <v>0.52331756969605281</v>
      </c>
      <c r="E19" s="8">
        <f>GEOMEAN('МАИ оценки'!E12,'МАИ оценки'!E40,'МАИ оценки'!E68,'МАИ оценки'!E96)</f>
        <v>1</v>
      </c>
      <c r="F19" s="8">
        <f>GEOMEAN('МАИ оценки'!F12,'МАИ оценки'!F40,'МАИ оценки'!F68,'МАИ оценки'!F96)</f>
        <v>0.38609739509608965</v>
      </c>
      <c r="G19" s="8">
        <f>GEOMEAN('МАИ оценки'!G12,'МАИ оценки'!G40,'МАИ оценки'!G68,'МАИ оценки'!G96)</f>
        <v>0.35930411196308421</v>
      </c>
      <c r="H19" s="8">
        <f>GEOMEAN(B19:G19)/(GEOMEAN(B16:G16)+GEOMEAN(B17:G17)+GEOMEAN(B18:G18)+GEOMEAN(B19:G19)+GEOMEAN(B20:G20)+GEOMEAN(B21:G21))</f>
        <v>6.5328461207859262E-2</v>
      </c>
    </row>
    <row r="20" spans="1:20" ht="21.95" customHeight="1" x14ac:dyDescent="0.25">
      <c r="A20" s="2" t="s">
        <v>25</v>
      </c>
      <c r="B20" s="8">
        <f>GEOMEAN('МАИ оценки'!B13,'МАИ оценки'!B41,'МАИ оценки'!B69,'МАИ оценки'!B97)</f>
        <v>0.537284965911771</v>
      </c>
      <c r="C20" s="8">
        <f>GEOMEAN('МАИ оценки'!C13,'МАИ оценки'!C41,'МАИ оценки'!C69,'МАИ оценки'!C97)</f>
        <v>0.93060485910209956</v>
      </c>
      <c r="D20" s="8">
        <f>GEOMEAN('МАИ оценки'!D13,'МАИ оценки'!D41,'МАИ оценки'!D69,'МАИ оценки'!D97)</f>
        <v>1.4142135623730949</v>
      </c>
      <c r="E20" s="8">
        <f>GEOMEAN('МАИ оценки'!E13,'МАИ оценки'!E41,'МАИ оценки'!E69,'МАИ оценки'!E97)</f>
        <v>2.5900200641113513</v>
      </c>
      <c r="F20" s="8">
        <f>GEOMEAN('МАИ оценки'!F13,'МАИ оценки'!F41,'МАИ оценки'!F69,'МАИ оценки'!F97)</f>
        <v>1</v>
      </c>
      <c r="G20" s="8">
        <f>GEOMEAN('МАИ оценки'!G13,'МАИ оценки'!G41,'МАИ оценки'!G69,'МАИ оценки'!G97)</f>
        <v>0.97098354341464688</v>
      </c>
      <c r="H20" s="8">
        <f>GEOMEAN(B20:G20)/(GEOMEAN(B16:G16)+GEOMEAN(B17:G17)+GEOMEAN(B18:G18)+GEOMEAN(B19:G19)+GEOMEAN(B20:G20)+GEOMEAN(B21:G21))</f>
        <v>0.16928166772334727</v>
      </c>
    </row>
    <row r="21" spans="1:20" ht="21.95" customHeight="1" x14ac:dyDescent="0.25">
      <c r="A21" s="2" t="s">
        <v>27</v>
      </c>
      <c r="B21" s="8">
        <f>GEOMEAN('МАИ оценки'!B14,'МАИ оценки'!B42,'МАИ оценки'!B70,'МАИ оценки'!B98)</f>
        <v>0.66874030497642201</v>
      </c>
      <c r="C21" s="8">
        <f>GEOMEAN('МАИ оценки'!C14,'МАИ оценки'!C42,'МАИ оценки'!C70,'МАИ оценки'!C98)</f>
        <v>0.70710678118654757</v>
      </c>
      <c r="D21" s="8">
        <f>GEOMEAN('МАИ оценки'!D14,'МАИ оценки'!D42,'МАИ оценки'!D70,'МАИ оценки'!D98)</f>
        <v>1.074569931823542</v>
      </c>
      <c r="E21" s="8">
        <f>GEOMEAN('МАИ оценки'!E14,'МАИ оценки'!E42,'МАИ оценки'!E70,'МАИ оценки'!E98)</f>
        <v>2.7831576837137408</v>
      </c>
      <c r="F21" s="8">
        <f>GEOMEAN('МАИ оценки'!F14,'МАИ оценки'!F42,'МАИ оценки'!F70,'МАИ оценки'!F98)</f>
        <v>1.0298835719535588</v>
      </c>
      <c r="G21" s="8">
        <f>GEOMEAN('МАИ оценки'!G14,'МАИ оценки'!G42,'МАИ оценки'!G70,'МАИ оценки'!G98)</f>
        <v>1</v>
      </c>
      <c r="H21" s="8">
        <f>GEOMEAN(B21:G21)/(GEOMEAN(B16:G16)+GEOMEAN(B17:G17)+GEOMEAN(B18:G18)+GEOMEAN(B19:G19)+GEOMEAN(B20:G20)+GEOMEAN(B21:G21))</f>
        <v>0.16374213559728185</v>
      </c>
    </row>
    <row r="22" spans="1:20" ht="21.95" customHeight="1" x14ac:dyDescent="0.25">
      <c r="A22" s="2" t="s">
        <v>80</v>
      </c>
      <c r="B22" s="8">
        <f>SUM(B16:B21)*H16+SUM(C16:C21)*H17+SUM(D16:D21)*H18+SUM(E16:E21)*H19+SUM(F16:F21)*H20+SUM(G16:G21)*H21</f>
        <v>6.028497347550271</v>
      </c>
      <c r="C22" s="2" t="s">
        <v>81</v>
      </c>
      <c r="D22" s="11">
        <f>(B22-6)/5/1.24</f>
        <v>4.596346379075968E-3</v>
      </c>
      <c r="E22" s="27" t="str">
        <f>IF(D22&lt;0.1,"согласована","пересмотреть")</f>
        <v>согласована</v>
      </c>
      <c r="F22" s="27"/>
      <c r="G22" s="27"/>
      <c r="H22" s="27"/>
    </row>
    <row r="23" spans="1:20" ht="21.95" customHeight="1" x14ac:dyDescent="0.25"/>
    <row r="24" spans="1:20" ht="21.95" customHeight="1" x14ac:dyDescent="0.25">
      <c r="A24" s="25" t="s">
        <v>82</v>
      </c>
      <c r="B24" s="25"/>
      <c r="C24" s="25"/>
      <c r="D24" s="25"/>
      <c r="E24" s="25"/>
      <c r="F24" s="25"/>
      <c r="H24" s="25" t="s">
        <v>83</v>
      </c>
      <c r="I24" s="25"/>
      <c r="J24" s="25"/>
      <c r="K24" s="25"/>
      <c r="L24" s="25"/>
      <c r="M24" s="25"/>
      <c r="O24" s="25" t="s">
        <v>84</v>
      </c>
      <c r="P24" s="25"/>
      <c r="Q24" s="25"/>
      <c r="R24" s="25"/>
      <c r="S24" s="25"/>
      <c r="T24" s="25"/>
    </row>
    <row r="25" spans="1:20" ht="21.95" customHeight="1" x14ac:dyDescent="0.25">
      <c r="A25" s="2" t="s">
        <v>65</v>
      </c>
      <c r="B25" s="2" t="s">
        <v>32</v>
      </c>
      <c r="C25" s="2" t="s">
        <v>34</v>
      </c>
      <c r="D25" s="2" t="s">
        <v>36</v>
      </c>
      <c r="E25" s="2" t="s">
        <v>38</v>
      </c>
      <c r="F25" s="2" t="s">
        <v>79</v>
      </c>
      <c r="H25" s="2" t="s">
        <v>65</v>
      </c>
      <c r="I25" s="2" t="s">
        <v>32</v>
      </c>
      <c r="J25" s="2" t="s">
        <v>34</v>
      </c>
      <c r="K25" s="2" t="s">
        <v>36</v>
      </c>
      <c r="L25" s="2" t="s">
        <v>38</v>
      </c>
      <c r="M25" s="2" t="s">
        <v>79</v>
      </c>
      <c r="O25" s="2" t="s">
        <v>65</v>
      </c>
      <c r="P25" s="2" t="s">
        <v>32</v>
      </c>
      <c r="Q25" s="2" t="s">
        <v>34</v>
      </c>
      <c r="R25" s="2" t="s">
        <v>36</v>
      </c>
      <c r="S25" s="2" t="s">
        <v>38</v>
      </c>
      <c r="T25" s="2" t="s">
        <v>79</v>
      </c>
    </row>
    <row r="26" spans="1:20" ht="21.95" customHeight="1" x14ac:dyDescent="0.25">
      <c r="A26" s="2" t="s">
        <v>32</v>
      </c>
      <c r="B26" s="8">
        <f>GEOMEAN('МАИ оценки'!B19,'МАИ оценки'!B47,'МАИ оценки'!B75,'МАИ оценки'!B103)</f>
        <v>1</v>
      </c>
      <c r="C26" s="8">
        <f>GEOMEAN('МАИ оценки'!C19,'МАИ оценки'!C47,'МАИ оценки'!C75,'МАИ оценки'!C103)</f>
        <v>1.189207115002721</v>
      </c>
      <c r="D26" s="8">
        <f>GEOMEAN('МАИ оценки'!D19,'МАИ оценки'!D47,'МАИ оценки'!D75,'МАИ оценки'!D103)</f>
        <v>2.340347319320716</v>
      </c>
      <c r="E26" s="8">
        <f>GEOMEAN('МАИ оценки'!E19,'МАИ оценки'!E47,'МАИ оценки'!E75,'МАИ оценки'!E103)</f>
        <v>3.6628415014847064</v>
      </c>
      <c r="F26" s="8">
        <f>GEOMEAN(B26:E26)/(GEOMEAN(B26:E26)+GEOMEAN(B27:E27)+GEOMEAN(B28:E28)+GEOMEAN(B29:E29))</f>
        <v>0.38829640299102192</v>
      </c>
      <c r="H26" s="2" t="s">
        <v>32</v>
      </c>
      <c r="I26" s="8">
        <f>GEOMEAN('МАИ оценки'!I19,'МАИ оценки'!I47,'МАИ оценки'!I75,'МАИ оценки'!I103)</f>
        <v>1</v>
      </c>
      <c r="J26" s="8">
        <f>GEOMEAN('МАИ оценки'!J19,'МАИ оценки'!J47,'МАИ оценки'!J75,'МАИ оценки'!J103)</f>
        <v>0.31020161970069987</v>
      </c>
      <c r="K26" s="8">
        <f>GEOMEAN('МАИ оценки'!K19,'МАИ оценки'!K47,'МАИ оценки'!K75,'МАИ оценки'!K103)</f>
        <v>0.40824829046386302</v>
      </c>
      <c r="L26" s="8">
        <f>GEOMEAN('МАИ оценки'!L19,'МАИ оценки'!L47,'МАИ оценки'!L75,'МАИ оценки'!L103)</f>
        <v>0.45180100180492239</v>
      </c>
      <c r="M26" s="8">
        <f>GEOMEAN(I26:L26)/(GEOMEAN(I26:L26)+GEOMEAN(I27:L27)+GEOMEAN(I28:L28)+GEOMEAN(I29:L29))</f>
        <v>0.11153100780766281</v>
      </c>
      <c r="O26" s="2" t="s">
        <v>32</v>
      </c>
      <c r="P26" s="8">
        <f>GEOMEAN('МАИ оценки'!P19,'МАИ оценки'!P47,'МАИ оценки'!P75,'МАИ оценки'!P103)</f>
        <v>1</v>
      </c>
      <c r="Q26" s="8">
        <f>GEOMEAN('МАИ оценки'!Q19,'МАИ оценки'!Q47,'МАИ оценки'!Q75,'МАИ оценки'!Q103)</f>
        <v>0.80342841894465167</v>
      </c>
      <c r="R26" s="8">
        <f>GEOMEAN('МАИ оценки'!R19,'МАИ оценки'!R47,'МАИ оценки'!R75,'МАИ оценки'!R103)</f>
        <v>3.0274001040350913</v>
      </c>
      <c r="S26" s="8">
        <f>GEOMEAN('МАИ оценки'!S19,'МАИ оценки'!S47,'МАИ оценки'!S75,'МАИ оценки'!S103)</f>
        <v>1.4953487812212205</v>
      </c>
      <c r="T26" s="8">
        <f>GEOMEAN(P26:S26)/(GEOMEAN(P26:S26)+GEOMEAN(P27:S27)+GEOMEAN(P28:S28)+GEOMEAN(P29:S29))</f>
        <v>0.31147764592278387</v>
      </c>
    </row>
    <row r="27" spans="1:20" ht="21.95" customHeight="1" x14ac:dyDescent="0.25">
      <c r="A27" s="2" t="s">
        <v>34</v>
      </c>
      <c r="B27" s="8">
        <f>GEOMEAN('МАИ оценки'!B20,'МАИ оценки'!B48,'МАИ оценки'!B76,'МАИ оценки'!B104)</f>
        <v>0.8408964152537145</v>
      </c>
      <c r="C27" s="8">
        <f>GEOMEAN('МАИ оценки'!C20,'МАИ оценки'!C48,'МАИ оценки'!C76,'МАИ оценки'!C104)</f>
        <v>1</v>
      </c>
      <c r="D27" s="8">
        <f>GEOMEAN('МАИ оценки'!D20,'МАИ оценки'!D48,'МАИ оценки'!D76,'МАИ оценки'!D104)</f>
        <v>2.4494897427831779</v>
      </c>
      <c r="E27" s="8">
        <f>GEOMEAN('МАИ оценки'!E20,'МАИ оценки'!E48,'МАИ оценки'!E76,'МАИ оценки'!E104)</f>
        <v>3.2237097954706257</v>
      </c>
      <c r="F27" s="8">
        <f>GEOMEAN(B27:E27)/(GEOMEAN(B26:E26)+GEOMEAN(B27:E27)+GEOMEAN(B28:E28)+GEOMEAN(B29:E29))</f>
        <v>0.34883326993002484</v>
      </c>
      <c r="H27" s="2" t="s">
        <v>34</v>
      </c>
      <c r="I27" s="8">
        <f>GEOMEAN('МАИ оценки'!I20,'МАИ оценки'!I48,'МАИ оценки'!I76,'МАИ оценки'!I104)</f>
        <v>3.2237097954706257</v>
      </c>
      <c r="J27" s="8">
        <f>GEOMEAN('МАИ оценки'!J20,'МАИ оценки'!J48,'МАИ оценки'!J76,'МАИ оценки'!J104)</f>
        <v>1</v>
      </c>
      <c r="K27" s="8">
        <f>GEOMEAN('МАИ оценки'!K20,'МАИ оценки'!K48,'МАИ оценки'!K76,'МАИ оценки'!K104)</f>
        <v>1.4564753151219703</v>
      </c>
      <c r="L27" s="8">
        <f>GEOMEAN('МАИ оценки'!L20,'МАИ оценки'!L48,'МАИ оценки'!L76,'МАИ оценки'!L104)</f>
        <v>1.7320508075688774</v>
      </c>
      <c r="M27" s="8">
        <f>GEOMEAN(I27:L27)/(GEOMEAN(I26:L26)+GEOMEAN(I27:L27)+GEOMEAN(I28:L28)+GEOMEAN(I29:L29))</f>
        <v>0.38509833759237438</v>
      </c>
      <c r="O27" s="2" t="s">
        <v>34</v>
      </c>
      <c r="P27" s="8">
        <f>GEOMEAN('МАИ оценки'!P20,'МАИ оценки'!P48,'МАИ оценки'!P76,'МАИ оценки'!P104)</f>
        <v>1.2446659545769567</v>
      </c>
      <c r="Q27" s="8">
        <f>GEOMEAN('МАИ оценки'!Q20,'МАИ оценки'!Q48,'МАИ оценки'!Q76,'МАИ оценки'!Q104)</f>
        <v>1</v>
      </c>
      <c r="R27" s="8">
        <f>GEOMEAN('МАИ оценки'!R20,'МАИ оценки'!R48,'МАИ оценки'!R76,'МАИ оценки'!R104)</f>
        <v>3.2237097954706257</v>
      </c>
      <c r="S27" s="8">
        <f>GEOMEAN('МАИ оценки'!S20,'МАИ оценки'!S48,'МАИ оценки'!S76,'МАИ оценки'!S104)</f>
        <v>1.7320508075688774</v>
      </c>
      <c r="T27" s="8">
        <f>GEOMEAN(P27:S27)/(GEOMEAN(P26:S26)+GEOMEAN(P27:S27)+GEOMEAN(P28:S28)+GEOMEAN(P29:S29))</f>
        <v>0.36620928373353123</v>
      </c>
    </row>
    <row r="28" spans="1:20" ht="21.95" customHeight="1" x14ac:dyDescent="0.25">
      <c r="A28" s="2" t="s">
        <v>36</v>
      </c>
      <c r="B28" s="8">
        <f>GEOMEAN('МАИ оценки'!B21,'МАИ оценки'!B49,'МАИ оценки'!B77,'МАИ оценки'!B105)</f>
        <v>0.42728700639623407</v>
      </c>
      <c r="C28" s="8">
        <f>GEOMEAN('МАИ оценки'!C21,'МАИ оценки'!C49,'МАИ оценки'!C77,'МАИ оценки'!C105)</f>
        <v>0.40824829046386302</v>
      </c>
      <c r="D28" s="8">
        <f>GEOMEAN('МАИ оценки'!D21,'МАИ оценки'!D49,'МАИ оценки'!D77,'МАИ оценки'!D105)</f>
        <v>1</v>
      </c>
      <c r="E28" s="8">
        <f>GEOMEAN('МАИ оценки'!E21,'МАИ оценки'!E49,'МАИ оценки'!E77,'МАИ оценки'!E105)</f>
        <v>1.681792830507429</v>
      </c>
      <c r="F28" s="8">
        <f>GEOMEAN(B28:E28)/(GEOMEAN(B26:E26)+GEOMEAN(B27:E27)+GEOMEAN(B28:E28)+GEOMEAN(B29:E29))</f>
        <v>0.15992947890745546</v>
      </c>
      <c r="H28" s="2" t="s">
        <v>36</v>
      </c>
      <c r="I28" s="8">
        <f>GEOMEAN('МАИ оценки'!I21,'МАИ оценки'!I49,'МАИ оценки'!I77,'МАИ оценки'!I105)</f>
        <v>2.4494897427831779</v>
      </c>
      <c r="J28" s="8">
        <f>GEOMEAN('МАИ оценки'!J21,'МАИ оценки'!J49,'МАИ оценки'!J77,'МАИ оценки'!J105)</f>
        <v>0.68658904796903919</v>
      </c>
      <c r="K28" s="8">
        <f>GEOMEAN('МАИ оценки'!K21,'МАИ оценки'!K49,'МАИ оценки'!K77,'МАИ оценки'!K105)</f>
        <v>1</v>
      </c>
      <c r="L28" s="8">
        <f>GEOMEAN('МАИ оценки'!L21,'МАИ оценки'!L49,'МАИ оценки'!L77,'МАИ оценки'!L105)</f>
        <v>1.189207115002721</v>
      </c>
      <c r="M28" s="8">
        <f>GEOMEAN(I28:L28)/(GEOMEAN(I26:L26)+GEOMEAN(I27:L27)+GEOMEAN(I28:L28)+GEOMEAN(I29:L29))</f>
        <v>0.27119034219414118</v>
      </c>
      <c r="O28" s="2" t="s">
        <v>36</v>
      </c>
      <c r="P28" s="8">
        <f>GEOMEAN('МАИ оценки'!P21,'МАИ оценки'!P49,'МАИ оценки'!P77,'МАИ оценки'!P105)</f>
        <v>0.33031643180138071</v>
      </c>
      <c r="Q28" s="8">
        <f>GEOMEAN('МАИ оценки'!Q21,'МАИ оценки'!Q49,'МАИ оценки'!Q77,'МАИ оценки'!Q105)</f>
        <v>0.31020161970069987</v>
      </c>
      <c r="R28" s="8">
        <f>GEOMEAN('МАИ оценки'!R21,'МАИ оценки'!R49,'МАИ оценки'!R77,'МАИ оценки'!R105)</f>
        <v>1</v>
      </c>
      <c r="S28" s="8">
        <f>GEOMEAN('МАИ оценки'!S21,'МАИ оценки'!S49,'МАИ оценки'!S77,'МАИ оценки'!S105)</f>
        <v>0.43869133765083079</v>
      </c>
      <c r="T28" s="8">
        <f>GEOMEAN(P28:S28)/(GEOMEAN(P26:S26)+GEOMEAN(P27:S27)+GEOMEAN(P28:S28)+GEOMEAN(P29:S29))</f>
        <v>0.10385330700263792</v>
      </c>
    </row>
    <row r="29" spans="1:20" ht="21.95" customHeight="1" x14ac:dyDescent="0.25">
      <c r="A29" s="2" t="s">
        <v>38</v>
      </c>
      <c r="B29" s="8">
        <f>GEOMEAN('МАИ оценки'!B22,'МАИ оценки'!B50,'МАИ оценки'!B78,'МАИ оценки'!B106)</f>
        <v>0.27301208627090667</v>
      </c>
      <c r="C29" s="8">
        <f>GEOMEAN('МАИ оценки'!C22,'МАИ оценки'!C50,'МАИ оценки'!C78,'МАИ оценки'!C106)</f>
        <v>0.31020161970069987</v>
      </c>
      <c r="D29" s="8">
        <f>GEOMEAN('МАИ оценки'!D22,'МАИ оценки'!D50,'МАИ оценки'!D78,'МАИ оценки'!D106)</f>
        <v>0.59460355750136051</v>
      </c>
      <c r="E29" s="8">
        <f>GEOMEAN('МАИ оценки'!E22,'МАИ оценки'!E50,'МАИ оценки'!E78,'МАИ оценки'!E106)</f>
        <v>1</v>
      </c>
      <c r="F29" s="8">
        <f>GEOMEAN(B29:E29)/(GEOMEAN(B26:E26)+GEOMEAN(B27:E27)+GEOMEAN(B28:E28)+GEOMEAN(B29:E29))</f>
        <v>0.1029408481714976</v>
      </c>
      <c r="H29" s="2" t="s">
        <v>38</v>
      </c>
      <c r="I29" s="8">
        <f>GEOMEAN('МАИ оценки'!I22,'МАИ оценки'!I50,'МАИ оценки'!I78,'МАИ оценки'!I106)</f>
        <v>2.2133638394006434</v>
      </c>
      <c r="J29" s="8">
        <f>GEOMEAN('МАИ оценки'!J22,'МАИ оценки'!J50,'МАИ оценки'!J78,'МАИ оценки'!J106)</f>
        <v>0.57735026918962573</v>
      </c>
      <c r="K29" s="8">
        <f>GEOMEAN('МАИ оценки'!K22,'МАИ оценки'!K50,'МАИ оценки'!K78,'МАИ оценки'!K106)</f>
        <v>0.8408964152537145</v>
      </c>
      <c r="L29" s="8">
        <f>GEOMEAN('МАИ оценки'!L22,'МАИ оценки'!L50,'МАИ оценки'!L78,'МАИ оценки'!L106)</f>
        <v>1</v>
      </c>
      <c r="M29" s="8">
        <f>GEOMEAN(I29:L29)/(GEOMEAN(I26:L26)+GEOMEAN(I27:L27)+GEOMEAN(I28:L28)+GEOMEAN(I29:L29))</f>
        <v>0.23218031240582185</v>
      </c>
      <c r="O29" s="2" t="s">
        <v>38</v>
      </c>
      <c r="P29" s="8">
        <f>GEOMEAN('МАИ оценки'!P22,'МАИ оценки'!P50,'МАИ оценки'!P78,'МАИ оценки'!P106)</f>
        <v>0.66874030497642201</v>
      </c>
      <c r="Q29" s="8">
        <f>GEOMEAN('МАИ оценки'!Q22,'МАИ оценки'!Q50,'МАИ оценки'!Q78,'МАИ оценки'!Q106)</f>
        <v>0.57735026918962573</v>
      </c>
      <c r="R29" s="8">
        <f>GEOMEAN('МАИ оценки'!R22,'МАИ оценки'!R50,'МАИ оценки'!R78,'МАИ оценки'!R106)</f>
        <v>2.2795070569547775</v>
      </c>
      <c r="S29" s="8">
        <f>GEOMEAN('МАИ оценки'!S22,'МАИ оценки'!S50,'МАИ оценки'!S78,'МАИ оценки'!S106)</f>
        <v>1</v>
      </c>
      <c r="T29" s="8">
        <f>GEOMEAN(P29:S29)/(GEOMEAN(P26:S26)+GEOMEAN(P27:S27)+GEOMEAN(P28:S28)+GEOMEAN(P29:S29))</f>
        <v>0.21845976334104694</v>
      </c>
    </row>
    <row r="30" spans="1:20" ht="21.95" customHeight="1" x14ac:dyDescent="0.25">
      <c r="A30" s="2" t="s">
        <v>80</v>
      </c>
      <c r="B30" s="8">
        <f>SUM(B26:B29)*F26+SUM(C26:C29)*F27+SUM(D26:D29)*F28+SUM(E26:E29)*F29</f>
        <v>4.0070583044335688</v>
      </c>
      <c r="C30" s="2" t="s">
        <v>81</v>
      </c>
      <c r="D30" s="11">
        <f>(B30-4)/3/0.9</f>
        <v>2.6141868272477062E-3</v>
      </c>
      <c r="E30" s="27" t="str">
        <f>IF(D30&lt;0.1,"согласована","пересмотреть")</f>
        <v>согласована</v>
      </c>
      <c r="F30" s="27"/>
      <c r="H30" s="2" t="s">
        <v>80</v>
      </c>
      <c r="I30" s="8">
        <f>SUM(I26:I29)*M26+SUM(J26:J29)*M27+SUM(K26:K29)*M28+SUM(L26:L29)*M29</f>
        <v>4.0026913136932318</v>
      </c>
      <c r="J30" s="2" t="s">
        <v>81</v>
      </c>
      <c r="K30" s="11">
        <f>(I30-4)/3/0.9</f>
        <v>9.9678284934512362E-4</v>
      </c>
      <c r="L30" s="27" t="str">
        <f>IF(K30&lt;0.1,"согласована","пересмотреть")</f>
        <v>согласована</v>
      </c>
      <c r="M30" s="27"/>
      <c r="O30" s="2" t="s">
        <v>80</v>
      </c>
      <c r="P30" s="8">
        <f>SUM(P26:P29)*T26+SUM(Q26:Q29)*T27+SUM(R26:R29)*T28+SUM(S26:S29)*T29</f>
        <v>4.0049482872247122</v>
      </c>
      <c r="Q30" s="2" t="s">
        <v>81</v>
      </c>
      <c r="R30" s="11">
        <f>(P30-4)/3/0.9</f>
        <v>1.8326989721156254E-3</v>
      </c>
      <c r="S30" s="27" t="str">
        <f>IF(R30&lt;0.1,"согласована","пересмотреть")</f>
        <v>согласована</v>
      </c>
      <c r="T30" s="27"/>
    </row>
    <row r="31" spans="1:20" ht="21.95" customHeight="1" x14ac:dyDescent="0.25"/>
    <row r="32" spans="1:20" ht="21.95" customHeight="1" x14ac:dyDescent="0.25">
      <c r="A32" s="25" t="s">
        <v>85</v>
      </c>
      <c r="B32" s="25"/>
      <c r="C32" s="25"/>
      <c r="D32" s="25"/>
      <c r="E32" s="25"/>
      <c r="F32" s="25"/>
      <c r="H32" s="25" t="s">
        <v>86</v>
      </c>
      <c r="I32" s="25"/>
      <c r="J32" s="25"/>
      <c r="K32" s="25"/>
      <c r="L32" s="25"/>
      <c r="M32" s="25"/>
      <c r="O32" s="25" t="s">
        <v>87</v>
      </c>
      <c r="P32" s="25"/>
      <c r="Q32" s="25"/>
      <c r="R32" s="25"/>
      <c r="S32" s="25"/>
      <c r="T32" s="25"/>
    </row>
    <row r="33" spans="1:20" ht="21.95" customHeight="1" x14ac:dyDescent="0.25">
      <c r="A33" s="2" t="s">
        <v>65</v>
      </c>
      <c r="B33" s="2" t="s">
        <v>32</v>
      </c>
      <c r="C33" s="2" t="s">
        <v>34</v>
      </c>
      <c r="D33" s="2" t="s">
        <v>36</v>
      </c>
      <c r="E33" s="2" t="s">
        <v>38</v>
      </c>
      <c r="F33" s="2" t="s">
        <v>79</v>
      </c>
      <c r="H33" s="2" t="s">
        <v>65</v>
      </c>
      <c r="I33" s="2" t="s">
        <v>32</v>
      </c>
      <c r="J33" s="2" t="s">
        <v>34</v>
      </c>
      <c r="K33" s="2" t="s">
        <v>36</v>
      </c>
      <c r="L33" s="2" t="s">
        <v>38</v>
      </c>
      <c r="M33" s="2" t="s">
        <v>79</v>
      </c>
      <c r="O33" s="2" t="s">
        <v>65</v>
      </c>
      <c r="P33" s="2" t="s">
        <v>32</v>
      </c>
      <c r="Q33" s="2" t="s">
        <v>34</v>
      </c>
      <c r="R33" s="2" t="s">
        <v>36</v>
      </c>
      <c r="S33" s="2" t="s">
        <v>38</v>
      </c>
      <c r="T33" s="2" t="s">
        <v>79</v>
      </c>
    </row>
    <row r="34" spans="1:20" ht="21.95" customHeight="1" x14ac:dyDescent="0.25">
      <c r="A34" s="2" t="s">
        <v>32</v>
      </c>
      <c r="B34" s="8">
        <f>GEOMEAN('МАИ оценки'!B27,'МАИ оценки'!B55,'МАИ оценки'!B83,'МАИ оценки'!B111)</f>
        <v>1</v>
      </c>
      <c r="C34" s="8">
        <f>GEOMEAN('МАИ оценки'!C27,'МАИ оценки'!C55,'МАИ оценки'!C83,'МАИ оценки'!C111)</f>
        <v>0.70710678118654757</v>
      </c>
      <c r="D34" s="8">
        <f>GEOMEAN('МАИ оценки'!D27,'МАИ оценки'!D55,'МАИ оценки'!D83,'МАИ оценки'!D111)</f>
        <v>0.8408964152537145</v>
      </c>
      <c r="E34" s="8">
        <f>GEOMEAN('МАИ оценки'!E27,'МАИ оценки'!E55,'МАИ оценки'!E83,'МАИ оценки'!E111)</f>
        <v>1.9679896712654303</v>
      </c>
      <c r="F34" s="8">
        <f>GEOMEAN(B34:E34)/(GEOMEAN(B34:E34)+GEOMEAN(B35:E35)+GEOMEAN(B36:E36)+GEOMEAN(B37:E37))</f>
        <v>0.24542901116051674</v>
      </c>
      <c r="H34" s="2" t="s">
        <v>32</v>
      </c>
      <c r="I34" s="8">
        <f>GEOMEAN('МАИ оценки'!I27,'МАИ оценки'!I55,'МАИ оценки'!I83,'МАИ оценки'!I111)</f>
        <v>1</v>
      </c>
      <c r="J34" s="8">
        <f>GEOMEAN('МАИ оценки'!J27,'МАИ оценки'!J55,'МАИ оценки'!J83,'МАИ оценки'!J111)</f>
        <v>0.8408964152537145</v>
      </c>
      <c r="K34" s="8">
        <f>GEOMEAN('МАИ оценки'!K27,'МАИ оценки'!K55,'МАИ оценки'!K83,'МАИ оценки'!K111)</f>
        <v>2.7831576837137408</v>
      </c>
      <c r="L34" s="8">
        <f>GEOMEAN('МАИ оценки'!L27,'МАИ оценки'!L55,'МАИ оценки'!L83,'МАИ оценки'!L111)</f>
        <v>5.7326567532262009</v>
      </c>
      <c r="M34" s="8">
        <f>GEOMEAN(I34:L34)/(GEOMEAN(I34:L34)+GEOMEAN(I35:L35)+GEOMEAN(I36:L36)+GEOMEAN(I37:L37))</f>
        <v>0.370151736394292</v>
      </c>
      <c r="O34" s="2" t="s">
        <v>32</v>
      </c>
      <c r="P34" s="8">
        <f>GEOMEAN('МАИ оценки'!P27,'МАИ оценки'!P55,'МАИ оценки'!P83,'МАИ оценки'!P111)</f>
        <v>1</v>
      </c>
      <c r="Q34" s="8">
        <f>GEOMEAN('МАИ оценки'!Q27,'МАИ оценки'!Q55,'МАИ оценки'!Q83,'МАИ оценки'!Q111)</f>
        <v>4.5270190558378696</v>
      </c>
      <c r="R34" s="8">
        <f>GEOMEAN('МАИ оценки'!R27,'МАИ оценки'!R55,'МАИ оценки'!R83,'МАИ оценки'!R111)</f>
        <v>1.3160740129524926</v>
      </c>
      <c r="S34" s="8">
        <f>GEOMEAN('МАИ оценки'!S27,'МАИ оценки'!S55,'МАИ оценки'!S83,'МАИ оценки'!S111)</f>
        <v>6.344227580643385</v>
      </c>
      <c r="T34" s="8">
        <f>GEOMEAN(P34:S34)/(GEOMEAN(P34:S34)+GEOMEAN(P35:S35)+GEOMEAN(P36:S36)+GEOMEAN(P37:S37))</f>
        <v>0.45034531057984722</v>
      </c>
    </row>
    <row r="35" spans="1:20" ht="21.95" customHeight="1" x14ac:dyDescent="0.25">
      <c r="A35" s="2" t="s">
        <v>34</v>
      </c>
      <c r="B35" s="8">
        <f>GEOMEAN('МАИ оценки'!B28,'МАИ оценки'!B56,'МАИ оценки'!B84,'МАИ оценки'!B112)</f>
        <v>1.4142135623730949</v>
      </c>
      <c r="C35" s="8">
        <f>GEOMEAN('МАИ оценки'!C28,'МАИ оценки'!C56,'МАИ оценки'!C84,'МАИ оценки'!C112)</f>
        <v>1</v>
      </c>
      <c r="D35" s="8">
        <f>GEOMEAN('МАИ оценки'!D28,'МАИ оценки'!D56,'МАИ оценки'!D84,'МАИ оценки'!D112)</f>
        <v>1.189207115002721</v>
      </c>
      <c r="E35" s="8">
        <f>GEOMEAN('МАИ оценки'!E28,'МАИ оценки'!E56,'МАИ оценки'!E84,'МАИ оценки'!E112)</f>
        <v>2.4494897427831779</v>
      </c>
      <c r="F35" s="8">
        <f>GEOMEAN(B35:E35)/(GEOMEAN(B34:E34)+GEOMEAN(B35:E35)+GEOMEAN(B36:E36)+GEOMEAN(B37:E37))</f>
        <v>0.33618269051536342</v>
      </c>
      <c r="H35" s="2" t="s">
        <v>34</v>
      </c>
      <c r="I35" s="8">
        <f>GEOMEAN('МАИ оценки'!I28,'МАИ оценки'!I56,'МАИ оценки'!I84,'МАИ оценки'!I112)</f>
        <v>1.189207115002721</v>
      </c>
      <c r="J35" s="8">
        <f>GEOMEAN('МАИ оценки'!J28,'МАИ оценки'!J56,'МАИ оценки'!J84,'МАИ оценки'!J112)</f>
        <v>1</v>
      </c>
      <c r="K35" s="8">
        <f>GEOMEAN('МАИ оценки'!K28,'МАИ оценки'!K56,'МАИ оценки'!K84,'МАИ оценки'!K112)</f>
        <v>2.9129506302439405</v>
      </c>
      <c r="L35" s="8">
        <f>GEOMEAN('МАИ оценки'!L28,'МАИ оценки'!L56,'МАИ оценки'!L84,'МАИ оценки'!L112)</f>
        <v>5.9160797830996161</v>
      </c>
      <c r="M35" s="8">
        <f>GEOMEAN(I35:L35)/(GEOMEAN(I34:L34)+GEOMEAN(I35:L35)+GEOMEAN(I36:L36)+GEOMEAN(I37:L37))</f>
        <v>0.41150667967247123</v>
      </c>
      <c r="O35" s="2" t="s">
        <v>34</v>
      </c>
      <c r="P35" s="8">
        <f>GEOMEAN('МАИ оценки'!P28,'МАИ оценки'!P56,'МАИ оценки'!P84,'МАИ оценки'!P112)</f>
        <v>0.22089591134157885</v>
      </c>
      <c r="Q35" s="8">
        <f>GEOMEAN('МАИ оценки'!Q28,'МАИ оценки'!Q56,'МАИ оценки'!Q84,'МАИ оценки'!Q112)</f>
        <v>1</v>
      </c>
      <c r="R35" s="8">
        <f>GEOMEAN('МАИ оценки'!R28,'МАИ оценки'!R56,'МАИ оценки'!R84,'МАИ оценки'!R112)</f>
        <v>0.22590050090246119</v>
      </c>
      <c r="S35" s="8">
        <f>GEOMEAN('МАИ оценки'!S28,'МАИ оценки'!S56,'МАИ оценки'!S84,'МАИ оценки'!S112)</f>
        <v>2.4494897427831779</v>
      </c>
      <c r="T35" s="8">
        <f>GEOMEAN(P35:S35)/(GEOMEAN(P34:S34)+GEOMEAN(P35:S35)+GEOMEAN(P36:S36)+GEOMEAN(P37:S37))</f>
        <v>0.1073922450513443</v>
      </c>
    </row>
    <row r="36" spans="1:20" ht="21.95" customHeight="1" x14ac:dyDescent="0.25">
      <c r="A36" s="2" t="s">
        <v>36</v>
      </c>
      <c r="B36" s="8">
        <f>GEOMEAN('МАИ оценки'!B29,'МАИ оценки'!B57,'МАИ оценки'!B85,'МАИ оценки'!B113)</f>
        <v>1.189207115002721</v>
      </c>
      <c r="C36" s="8">
        <f>GEOMEAN('МАИ оценки'!C29,'МАИ оценки'!C57,'МАИ оценки'!C85,'МАИ оценки'!C113)</f>
        <v>0.8408964152537145</v>
      </c>
      <c r="D36" s="8">
        <f>GEOMEAN('МАИ оценки'!D29,'МАИ оценки'!D57,'МАИ оценки'!D85,'МАИ оценки'!D113)</f>
        <v>1</v>
      </c>
      <c r="E36" s="8">
        <f>GEOMEAN('МАИ оценки'!E29,'МАИ оценки'!E57,'МАИ оценки'!E85,'МАИ оценки'!E113)</f>
        <v>2.2133638394006434</v>
      </c>
      <c r="F36" s="8">
        <f>GEOMEAN(B36:E36)/(GEOMEAN(B34:E34)+GEOMEAN(B35:E35)+GEOMEAN(B36:E36)+GEOMEAN(B37:E37))</f>
        <v>0.28782367940451348</v>
      </c>
      <c r="H36" s="2" t="s">
        <v>36</v>
      </c>
      <c r="I36" s="8">
        <f>GEOMEAN('МАИ оценки'!I29,'МАИ оценки'!I57,'МАИ оценки'!I85,'МАИ оценки'!I113)</f>
        <v>0.35930411196308421</v>
      </c>
      <c r="J36" s="8">
        <f>GEOMEAN('МАИ оценки'!J29,'МАИ оценки'!J57,'МАИ оценки'!J85,'МАИ оценки'!J113)</f>
        <v>0.3432945239845196</v>
      </c>
      <c r="K36" s="8">
        <f>GEOMEAN('МАИ оценки'!K29,'МАИ оценки'!K57,'МАИ оценки'!K85,'МАИ оценки'!K113)</f>
        <v>1</v>
      </c>
      <c r="L36" s="8">
        <f>GEOMEAN('МАИ оценки'!L29,'МАИ оценки'!L57,'МАИ оценки'!L85,'МАИ оценки'!L113)</f>
        <v>3.9359793425308607</v>
      </c>
      <c r="M36" s="8">
        <f>GEOMEAN(I36:L36)/(GEOMEAN(I34:L34)+GEOMEAN(I35:L35)+GEOMEAN(I36:L36)+GEOMEAN(I37:L37))</f>
        <v>0.16144187628253107</v>
      </c>
      <c r="O36" s="2" t="s">
        <v>36</v>
      </c>
      <c r="P36" s="8">
        <f>GEOMEAN('МАИ оценки'!P29,'МАИ оценки'!P57,'МАИ оценки'!P85,'МАИ оценки'!P113)</f>
        <v>0.75983568565159254</v>
      </c>
      <c r="Q36" s="8">
        <f>GEOMEAN('МАИ оценки'!Q29,'МАИ оценки'!Q57,'МАИ оценки'!Q85,'МАИ оценки'!Q113)</f>
        <v>4.4267276788012868</v>
      </c>
      <c r="R36" s="8">
        <f>GEOMEAN('МАИ оценки'!R29,'МАИ оценки'!R57,'МАИ оценки'!R85,'МАИ оценки'!R113)</f>
        <v>1</v>
      </c>
      <c r="S36" s="8">
        <f>GEOMEAN('МАИ оценки'!S29,'МАИ оценки'!S57,'МАИ оценки'!S85,'МАИ оценки'!S113)</f>
        <v>5.9160797830996161</v>
      </c>
      <c r="T36" s="8">
        <f>GEOMEAN(P36:S36)/(GEOMEAN(P34:S34)+GEOMEAN(P35:S35)+GEOMEAN(P36:S36)+GEOMEAN(P37:S37))</f>
        <v>0.38360735550533287</v>
      </c>
    </row>
    <row r="37" spans="1:20" ht="21.95" customHeight="1" x14ac:dyDescent="0.25">
      <c r="A37" s="2" t="s">
        <v>38</v>
      </c>
      <c r="B37" s="8">
        <f>GEOMEAN('МАИ оценки'!B30,'МАИ оценки'!B58,'МАИ оценки'!B86,'МАИ оценки'!B114)</f>
        <v>0.50813274815461473</v>
      </c>
      <c r="C37" s="8">
        <f>GEOMEAN('МАИ оценки'!C30,'МАИ оценки'!C58,'МАИ оценки'!C86,'МАИ оценки'!C114)</f>
        <v>0.40824829046386302</v>
      </c>
      <c r="D37" s="8">
        <f>GEOMEAN('МАИ оценки'!D30,'МАИ оценки'!D58,'МАИ оценки'!D86,'МАИ оценки'!D114)</f>
        <v>0.45180100180492239</v>
      </c>
      <c r="E37" s="8">
        <f>GEOMEAN('МАИ оценки'!E30,'МАИ оценки'!E58,'МАИ оценки'!E86,'МАИ оценки'!E114)</f>
        <v>1</v>
      </c>
      <c r="F37" s="8">
        <f>GEOMEAN(B37:E37)/(GEOMEAN(B34:E34)+GEOMEAN(B35:E35)+GEOMEAN(B36:E36)+GEOMEAN(B37:E37))</f>
        <v>0.13056461891960641</v>
      </c>
      <c r="H37" s="2" t="s">
        <v>38</v>
      </c>
      <c r="I37" s="8">
        <f>GEOMEAN('МАИ оценки'!I30,'МАИ оценки'!I58,'МАИ оценки'!I86,'МАИ оценки'!I114)</f>
        <v>0.17443918989868426</v>
      </c>
      <c r="J37" s="8">
        <f>GEOMEAN('МАИ оценки'!J30,'МАИ оценки'!J58,'МАИ оценки'!J86,'МАИ оценки'!J114)</f>
        <v>0.1690308509457033</v>
      </c>
      <c r="K37" s="8">
        <f>GEOMEAN('МАИ оценки'!K30,'МАИ оценки'!K58,'МАИ оценки'!K86,'МАИ оценки'!K114)</f>
        <v>0.25406637407730737</v>
      </c>
      <c r="L37" s="8">
        <f>GEOMEAN('МАИ оценки'!L30,'МАИ оценки'!L58,'МАИ оценки'!L86,'МАИ оценки'!L114)</f>
        <v>1</v>
      </c>
      <c r="M37" s="8">
        <f>GEOMEAN(I37:L37)/(GEOMEAN(I34:L34)+GEOMEAN(I35:L35)+GEOMEAN(I36:L36)+GEOMEAN(I37:L37))</f>
        <v>5.6899707650705657E-2</v>
      </c>
      <c r="O37" s="2" t="s">
        <v>38</v>
      </c>
      <c r="P37" s="8">
        <f>GEOMEAN('МАИ оценки'!P30,'МАИ оценки'!P58,'МАИ оценки'!P86,'МАИ оценки'!P114)</f>
        <v>0.15762360150052931</v>
      </c>
      <c r="Q37" s="8">
        <f>GEOMEAN('МАИ оценки'!Q30,'МАИ оценки'!Q58,'МАИ оценки'!Q86,'МАИ оценки'!Q114)</f>
        <v>0.40824829046386302</v>
      </c>
      <c r="R37" s="8">
        <f>GEOMEAN('МАИ оценки'!R30,'МАИ оценки'!R58,'МАИ оценки'!R86,'МАИ оценки'!R114)</f>
        <v>0.1690308509457033</v>
      </c>
      <c r="S37" s="8">
        <f>GEOMEAN('МАИ оценки'!S30,'МАИ оценки'!S58,'МАИ оценки'!S86,'МАИ оценки'!S114)</f>
        <v>1</v>
      </c>
      <c r="T37" s="8">
        <f>GEOMEAN(P37:S37)/(GEOMEAN(P34:S34)+GEOMEAN(P35:S35)+GEOMEAN(P36:S36)+GEOMEAN(P37:S37))</f>
        <v>5.8655088863475688E-2</v>
      </c>
    </row>
    <row r="38" spans="1:20" ht="21.95" customHeight="1" x14ac:dyDescent="0.25">
      <c r="A38" s="2" t="s">
        <v>80</v>
      </c>
      <c r="B38" s="8">
        <f>SUM(B34:B37)*F34+SUM(C34:C37)*F35+SUM(D34:D37)*F36+SUM(E34:E37)*F37</f>
        <v>4.0014277854440428</v>
      </c>
      <c r="C38" s="2" t="s">
        <v>81</v>
      </c>
      <c r="D38" s="11">
        <f>(B38-4)/3/0.9</f>
        <v>5.2880942371954143E-4</v>
      </c>
      <c r="E38" s="27" t="str">
        <f>IF(D38&lt;0.1,"согласована","пересмотреть")</f>
        <v>согласована</v>
      </c>
      <c r="F38" s="27"/>
      <c r="H38" s="2" t="s">
        <v>80</v>
      </c>
      <c r="I38" s="8">
        <f>SUM(I34:I37)*M34+SUM(J34:J37)*M35+SUM(K34:K37)*M36+SUM(L34:L37)*M37</f>
        <v>4.0419860374341372</v>
      </c>
      <c r="J38" s="2" t="s">
        <v>81</v>
      </c>
      <c r="K38" s="11">
        <f>(I38-4)/3/0.9</f>
        <v>1.5550384234865631E-2</v>
      </c>
      <c r="L38" s="27" t="str">
        <f>IF(K38&lt;0.1,"согласована","пересмотреть")</f>
        <v>согласована</v>
      </c>
      <c r="M38" s="27"/>
      <c r="O38" s="2" t="s">
        <v>80</v>
      </c>
      <c r="P38" s="8">
        <f>SUM(P34:P37)*T34+SUM(Q34:Q37)*T35+SUM(R34:R37)*T36+SUM(S34:S37)*T37</f>
        <v>4.0372172890147677</v>
      </c>
      <c r="Q38" s="2" t="s">
        <v>81</v>
      </c>
      <c r="R38" s="11">
        <f>(P38-4)/3/0.9</f>
        <v>1.378418111658064E-2</v>
      </c>
      <c r="S38" s="27" t="str">
        <f>IF(R38&lt;0.1,"согласована","пересмотреть")</f>
        <v>согласована</v>
      </c>
      <c r="T38" s="27"/>
    </row>
    <row r="39" spans="1:20" ht="21.95" customHeight="1" x14ac:dyDescent="0.25"/>
    <row r="40" spans="1:20" ht="21.95" customHeight="1" x14ac:dyDescent="0.25"/>
    <row r="41" spans="1:20" ht="21.95" customHeight="1" x14ac:dyDescent="0.25">
      <c r="A41" s="1" t="s">
        <v>103</v>
      </c>
    </row>
    <row r="42" spans="1:20" ht="21.95" customHeight="1" x14ac:dyDescent="0.25">
      <c r="A42" s="2" t="s">
        <v>5</v>
      </c>
      <c r="B42" s="2" t="s">
        <v>15</v>
      </c>
      <c r="C42" s="2" t="s">
        <v>18</v>
      </c>
      <c r="D42" s="2" t="s">
        <v>21</v>
      </c>
      <c r="E42" s="2" t="s">
        <v>23</v>
      </c>
      <c r="F42" s="2" t="s">
        <v>25</v>
      </c>
      <c r="G42" s="2" t="s">
        <v>27</v>
      </c>
      <c r="H42" s="2" t="s">
        <v>104</v>
      </c>
      <c r="I42" s="2" t="s">
        <v>71</v>
      </c>
      <c r="J42" s="20" t="s">
        <v>105</v>
      </c>
      <c r="K42" s="20"/>
      <c r="L42" s="20"/>
      <c r="M42" s="20"/>
      <c r="N42" s="20"/>
    </row>
    <row r="43" spans="1:20" ht="21.95" customHeight="1" x14ac:dyDescent="0.25">
      <c r="A43" s="2" t="s">
        <v>79</v>
      </c>
      <c r="B43" s="15">
        <f>H16</f>
        <v>0.26364308595618513</v>
      </c>
      <c r="C43" s="15">
        <f>H17</f>
        <v>0.19804098834613351</v>
      </c>
      <c r="D43" s="15">
        <f>H18</f>
        <v>0.13996366116919301</v>
      </c>
      <c r="E43" s="15">
        <f>H19</f>
        <v>6.5328461207859262E-2</v>
      </c>
      <c r="F43" s="15">
        <f>H20</f>
        <v>0.16928166772334727</v>
      </c>
      <c r="G43" s="15">
        <f>H21</f>
        <v>0.16374213559728185</v>
      </c>
      <c r="H43" s="10" t="s">
        <v>65</v>
      </c>
      <c r="I43" s="10" t="s">
        <v>65</v>
      </c>
      <c r="J43" s="29" t="s">
        <v>65</v>
      </c>
      <c r="K43" s="29"/>
      <c r="L43" s="29"/>
      <c r="M43" s="29"/>
      <c r="N43" s="29"/>
    </row>
    <row r="44" spans="1:20" ht="21.95" customHeight="1" x14ac:dyDescent="0.25">
      <c r="A44" s="2" t="s">
        <v>32</v>
      </c>
      <c r="B44" s="8">
        <f>F26</f>
        <v>0.38829640299102192</v>
      </c>
      <c r="C44" s="8">
        <f>M26</f>
        <v>0.11153100780766281</v>
      </c>
      <c r="D44" s="8">
        <f>T26</f>
        <v>0.31147764592278387</v>
      </c>
      <c r="E44" s="8">
        <f>F34</f>
        <v>0.24542901116051674</v>
      </c>
      <c r="F44" s="8">
        <f>M34</f>
        <v>0.370151736394292</v>
      </c>
      <c r="G44" s="8">
        <f>T34</f>
        <v>0.45034531057984722</v>
      </c>
      <c r="H44" s="11">
        <f>SUMPRODUCT(B44:G44,$B$43:$G$43)</f>
        <v>0.32048883045639071</v>
      </c>
      <c r="I44" s="12">
        <f>RANK(H44,$H$44:$H$47,0)</f>
        <v>2</v>
      </c>
      <c r="J44" s="24" t="s">
        <v>33</v>
      </c>
      <c r="K44" s="24"/>
      <c r="L44" s="24"/>
      <c r="M44" s="24"/>
      <c r="N44" s="24"/>
    </row>
    <row r="45" spans="1:20" ht="21.95" customHeight="1" x14ac:dyDescent="0.25">
      <c r="A45" s="2" t="s">
        <v>34</v>
      </c>
      <c r="B45" s="8">
        <f>F27</f>
        <v>0.34883326993002484</v>
      </c>
      <c r="C45" s="8">
        <f>M27</f>
        <v>0.38509833759237438</v>
      </c>
      <c r="D45" s="8">
        <f>T27</f>
        <v>0.36620928373353123</v>
      </c>
      <c r="E45" s="8">
        <f>F35</f>
        <v>0.33618269051536342</v>
      </c>
      <c r="F45" s="8">
        <f>M35</f>
        <v>0.41150667967247123</v>
      </c>
      <c r="G45" s="8">
        <f>T35</f>
        <v>0.1073922450513443</v>
      </c>
      <c r="H45" s="11">
        <f>SUMPRODUCT(B45:G45,$B$43:$G$43)</f>
        <v>0.32869619768291192</v>
      </c>
      <c r="I45" s="12">
        <f>RANK(H45,$H$44:$H$47,0)</f>
        <v>1</v>
      </c>
      <c r="J45" s="24" t="s">
        <v>35</v>
      </c>
      <c r="K45" s="24"/>
      <c r="L45" s="24"/>
      <c r="M45" s="24"/>
      <c r="N45" s="24"/>
    </row>
    <row r="46" spans="1:20" ht="21.95" customHeight="1" x14ac:dyDescent="0.25">
      <c r="A46" s="2" t="s">
        <v>36</v>
      </c>
      <c r="B46" s="8">
        <f>F28</f>
        <v>0.15992947890745546</v>
      </c>
      <c r="C46" s="8">
        <f>M28</f>
        <v>0.27119034219414118</v>
      </c>
      <c r="D46" s="8">
        <f>T28</f>
        <v>0.10385330700263792</v>
      </c>
      <c r="E46" s="8">
        <f>F36</f>
        <v>0.28782367940451348</v>
      </c>
      <c r="F46" s="8">
        <f>M36</f>
        <v>0.16144187628253107</v>
      </c>
      <c r="G46" s="8">
        <f>T36</f>
        <v>0.38360735550533287</v>
      </c>
      <c r="H46" s="11">
        <f>SUMPRODUCT(B46:G46,$B$43:$G$43)</f>
        <v>0.21935170957864059</v>
      </c>
      <c r="I46" s="12">
        <f>RANK(H46,$H$44:$H$47,0)</f>
        <v>3</v>
      </c>
      <c r="J46" s="24" t="s">
        <v>37</v>
      </c>
      <c r="K46" s="24"/>
      <c r="L46" s="24"/>
      <c r="M46" s="24"/>
      <c r="N46" s="24"/>
    </row>
    <row r="47" spans="1:20" ht="21.95" customHeight="1" x14ac:dyDescent="0.25">
      <c r="A47" s="2" t="s">
        <v>38</v>
      </c>
      <c r="B47" s="8">
        <f>F29</f>
        <v>0.1029408481714976</v>
      </c>
      <c r="C47" s="8">
        <f>M29</f>
        <v>0.23218031240582185</v>
      </c>
      <c r="D47" s="8">
        <f>T29</f>
        <v>0.21845976334104694</v>
      </c>
      <c r="E47" s="8">
        <f>F37</f>
        <v>0.13056461891960641</v>
      </c>
      <c r="F47" s="8">
        <f>M37</f>
        <v>5.6899707650705657E-2</v>
      </c>
      <c r="G47" s="8">
        <f>T37</f>
        <v>5.8655088863475688E-2</v>
      </c>
      <c r="H47" s="11">
        <f>SUMPRODUCT(B47:G47,$B$43:$G$43)</f>
        <v>0.13146326228205676</v>
      </c>
      <c r="I47" s="12">
        <f>RANK(H47,$H$44:$H$47,0)</f>
        <v>4</v>
      </c>
      <c r="J47" s="24" t="s">
        <v>39</v>
      </c>
      <c r="K47" s="24"/>
      <c r="L47" s="24"/>
      <c r="M47" s="24"/>
      <c r="N47" s="24"/>
    </row>
    <row r="48" spans="1:20" ht="21.95" customHeight="1" x14ac:dyDescent="0.25"/>
    <row r="49" spans="1:16" ht="21.95" customHeight="1" x14ac:dyDescent="0.25">
      <c r="A49" s="25" t="s">
        <v>72</v>
      </c>
      <c r="B49" s="25"/>
      <c r="C49" s="25"/>
      <c r="D49" s="25"/>
      <c r="E49" s="25"/>
      <c r="F49" s="25" t="str">
        <f>INDEX(A44:A47,MATCH(1,I44:I47,0))&amp;". "&amp;INDEX(J44:J47,MATCH(1,I44:I47,0))</f>
        <v>A2. Мониторинг доступности</v>
      </c>
      <c r="G49" s="25"/>
      <c r="H49" s="25"/>
      <c r="I49" s="25"/>
      <c r="J49" s="25"/>
      <c r="K49" s="25"/>
      <c r="L49" s="25"/>
      <c r="M49" s="25"/>
      <c r="N49" s="25"/>
      <c r="O49" s="25"/>
      <c r="P49" s="25"/>
    </row>
  </sheetData>
  <mergeCells count="36">
    <mergeCell ref="J47:N47"/>
    <mergeCell ref="A49:E49"/>
    <mergeCell ref="F49:P49"/>
    <mergeCell ref="J42:N42"/>
    <mergeCell ref="J43:N43"/>
    <mergeCell ref="J44:N44"/>
    <mergeCell ref="J45:N45"/>
    <mergeCell ref="J46:N46"/>
    <mergeCell ref="A32:F32"/>
    <mergeCell ref="H32:M32"/>
    <mergeCell ref="O32:T32"/>
    <mergeCell ref="E38:F38"/>
    <mergeCell ref="L38:M38"/>
    <mergeCell ref="S38:T38"/>
    <mergeCell ref="A24:F24"/>
    <mergeCell ref="H24:M24"/>
    <mergeCell ref="O24:T24"/>
    <mergeCell ref="E30:F30"/>
    <mergeCell ref="L30:M30"/>
    <mergeCell ref="S30:T30"/>
    <mergeCell ref="A10:B10"/>
    <mergeCell ref="C10:D10"/>
    <mergeCell ref="A11:F11"/>
    <mergeCell ref="A14:H14"/>
    <mergeCell ref="E22:H22"/>
    <mergeCell ref="A7:B7"/>
    <mergeCell ref="C7:D7"/>
    <mergeCell ref="A8:B8"/>
    <mergeCell ref="C8:D8"/>
    <mergeCell ref="A9:B9"/>
    <mergeCell ref="C9:D9"/>
    <mergeCell ref="A1:T1"/>
    <mergeCell ref="A2:T2"/>
    <mergeCell ref="A3:T3"/>
    <mergeCell ref="A6:B6"/>
    <mergeCell ref="C6:D6"/>
  </mergeCells>
  <conditionalFormatting sqref="A44:N47">
    <cfRule type="expression" dxfId="9" priority="9">
      <formula>$I44=1</formula>
    </cfRule>
  </conditionalFormatting>
  <conditionalFormatting sqref="C7:K10">
    <cfRule type="cellIs" dxfId="8" priority="1" operator="greaterThanOrEqual">
      <formula>0.1</formula>
    </cfRule>
  </conditionalFormatting>
  <conditionalFormatting sqref="D22">
    <cfRule type="cellIs" dxfId="7" priority="2" operator="greaterThanOrEqual">
      <formula>0.1</formula>
    </cfRule>
  </conditionalFormatting>
  <conditionalFormatting sqref="D30">
    <cfRule type="cellIs" dxfId="6" priority="3" operator="greaterThanOrEqual">
      <formula>0.1</formula>
    </cfRule>
  </conditionalFormatting>
  <conditionalFormatting sqref="D38">
    <cfRule type="cellIs" dxfId="5" priority="6" operator="greaterThanOrEqual">
      <formula>0.1</formula>
    </cfRule>
  </conditionalFormatting>
  <conditionalFormatting sqref="K30">
    <cfRule type="cellIs" dxfId="4" priority="4" operator="greaterThanOrEqual">
      <formula>0.1</formula>
    </cfRule>
  </conditionalFormatting>
  <conditionalFormatting sqref="K38">
    <cfRule type="cellIs" dxfId="3" priority="7" operator="greaterThanOrEqual">
      <formula>0.1</formula>
    </cfRule>
  </conditionalFormatting>
  <conditionalFormatting sqref="R30">
    <cfRule type="cellIs" dxfId="2" priority="5" operator="greaterThanOrEqual">
      <formula>0.1</formula>
    </cfRule>
  </conditionalFormatting>
  <conditionalFormatting sqref="R38">
    <cfRule type="cellIs" dxfId="1" priority="8" operator="greaterThanOrEqual">
      <formula>0.1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3"/>
  <sheetViews>
    <sheetView workbookViewId="0"/>
  </sheetViews>
  <sheetFormatPr defaultRowHeight="15" x14ac:dyDescent="0.25"/>
  <cols>
    <col min="1" max="1" width="11" customWidth="1"/>
    <col min="2" max="2" width="14" customWidth="1"/>
    <col min="3" max="5" width="11" customWidth="1"/>
    <col min="6" max="6" width="16" customWidth="1"/>
    <col min="7" max="7" width="11" customWidth="1"/>
    <col min="8" max="8" width="19" customWidth="1"/>
    <col min="9" max="20" width="11" customWidth="1"/>
  </cols>
  <sheetData>
    <row r="1" spans="1:20" ht="26.1" customHeight="1" x14ac:dyDescent="0.25">
      <c r="A1" s="22" t="s">
        <v>106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spans="1:20" ht="21.95" customHeight="1" x14ac:dyDescent="0.25">
      <c r="A2" s="23" t="s">
        <v>107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spans="1:20" ht="21.95" customHeight="1" x14ac:dyDescent="0.25"/>
    <row r="4" spans="1:20" ht="21.95" customHeight="1" x14ac:dyDescent="0.25">
      <c r="A4" s="1" t="s">
        <v>108</v>
      </c>
    </row>
    <row r="5" spans="1:20" ht="21.95" customHeight="1" x14ac:dyDescent="0.25">
      <c r="A5" s="2" t="s">
        <v>5</v>
      </c>
      <c r="B5" s="20" t="s">
        <v>105</v>
      </c>
      <c r="C5" s="20"/>
      <c r="D5" s="20"/>
      <c r="E5" s="20"/>
      <c r="F5" s="2" t="s">
        <v>109</v>
      </c>
      <c r="G5" s="2" t="s">
        <v>71</v>
      </c>
      <c r="H5" s="2" t="s">
        <v>110</v>
      </c>
      <c r="I5" s="2" t="s">
        <v>71</v>
      </c>
      <c r="J5" s="2" t="s">
        <v>111</v>
      </c>
    </row>
    <row r="6" spans="1:20" ht="21.95" customHeight="1" x14ac:dyDescent="0.25">
      <c r="A6" s="2" t="s">
        <v>32</v>
      </c>
      <c r="B6" s="24" t="s">
        <v>33</v>
      </c>
      <c r="C6" s="24"/>
      <c r="D6" s="24"/>
      <c r="E6" s="24"/>
      <c r="F6" s="8">
        <f>TOPSIS!F53</f>
        <v>0.50422166728448947</v>
      </c>
      <c r="G6" s="12">
        <f>TOPSIS!G53</f>
        <v>1</v>
      </c>
      <c r="H6" s="8">
        <f>МАИ!H44</f>
        <v>0.32048883045639071</v>
      </c>
      <c r="I6" s="12">
        <f>МАИ!I44</f>
        <v>2</v>
      </c>
      <c r="J6" s="6">
        <f>G6-I6</f>
        <v>-1</v>
      </c>
    </row>
    <row r="7" spans="1:20" ht="21.95" customHeight="1" x14ac:dyDescent="0.25">
      <c r="A7" s="2" t="s">
        <v>34</v>
      </c>
      <c r="B7" s="24" t="s">
        <v>35</v>
      </c>
      <c r="C7" s="24"/>
      <c r="D7" s="24"/>
      <c r="E7" s="24"/>
      <c r="F7" s="8">
        <f>TOPSIS!F54</f>
        <v>0.47592426712664554</v>
      </c>
      <c r="G7" s="12">
        <f>TOPSIS!G54</f>
        <v>2</v>
      </c>
      <c r="H7" s="8">
        <f>МАИ!H45</f>
        <v>0.32869619768291192</v>
      </c>
      <c r="I7" s="12">
        <f>МАИ!I45</f>
        <v>1</v>
      </c>
      <c r="J7" s="6">
        <f>G7-I7</f>
        <v>1</v>
      </c>
    </row>
    <row r="8" spans="1:20" ht="21.95" customHeight="1" x14ac:dyDescent="0.25">
      <c r="A8" s="2" t="s">
        <v>36</v>
      </c>
      <c r="B8" s="24" t="s">
        <v>37</v>
      </c>
      <c r="C8" s="24"/>
      <c r="D8" s="24"/>
      <c r="E8" s="24"/>
      <c r="F8" s="8">
        <f>TOPSIS!F55</f>
        <v>0.45444475008367563</v>
      </c>
      <c r="G8" s="12">
        <f>TOPSIS!G55</f>
        <v>3</v>
      </c>
      <c r="H8" s="8">
        <f>МАИ!H46</f>
        <v>0.21935170957864059</v>
      </c>
      <c r="I8" s="12">
        <f>МАИ!I46</f>
        <v>3</v>
      </c>
      <c r="J8" s="6">
        <f>G8-I8</f>
        <v>0</v>
      </c>
    </row>
    <row r="9" spans="1:20" ht="21.95" customHeight="1" x14ac:dyDescent="0.25">
      <c r="A9" s="2" t="s">
        <v>38</v>
      </c>
      <c r="B9" s="24" t="s">
        <v>39</v>
      </c>
      <c r="C9" s="24"/>
      <c r="D9" s="24"/>
      <c r="E9" s="24"/>
      <c r="F9" s="8">
        <f>TOPSIS!F56</f>
        <v>0.39693085504554698</v>
      </c>
      <c r="G9" s="12">
        <f>TOPSIS!G56</f>
        <v>4</v>
      </c>
      <c r="H9" s="8">
        <f>МАИ!H47</f>
        <v>0.13146326228205676</v>
      </c>
      <c r="I9" s="12">
        <f>МАИ!I47</f>
        <v>4</v>
      </c>
      <c r="J9" s="6">
        <f>G9-I9</f>
        <v>0</v>
      </c>
    </row>
    <row r="10" spans="1:20" ht="21.95" customHeight="1" x14ac:dyDescent="0.25"/>
    <row r="11" spans="1:20" ht="21.95" customHeight="1" x14ac:dyDescent="0.25">
      <c r="A11" s="25" t="s">
        <v>112</v>
      </c>
      <c r="B11" s="25"/>
      <c r="C11" s="25"/>
      <c r="D11" s="25"/>
      <c r="E11" s="25"/>
      <c r="F11" s="16">
        <f>1-6*SUMSQ(J6:J9)/(4*(4^2-1))</f>
        <v>0.8</v>
      </c>
    </row>
    <row r="12" spans="1:20" ht="21.95" customHeight="1" x14ac:dyDescent="0.25"/>
    <row r="13" spans="1:20" ht="21.95" customHeight="1" x14ac:dyDescent="0.25">
      <c r="A13" s="1" t="s">
        <v>113</v>
      </c>
    </row>
    <row r="14" spans="1:20" ht="21.95" customHeight="1" x14ac:dyDescent="0.25">
      <c r="A14" s="20" t="s">
        <v>114</v>
      </c>
      <c r="B14" s="20"/>
      <c r="C14" s="20"/>
      <c r="D14" s="2" t="s">
        <v>15</v>
      </c>
      <c r="E14" s="2" t="s">
        <v>18</v>
      </c>
      <c r="F14" s="2" t="s">
        <v>21</v>
      </c>
      <c r="G14" s="2" t="s">
        <v>23</v>
      </c>
      <c r="H14" s="2" t="s">
        <v>25</v>
      </c>
      <c r="I14" s="2" t="s">
        <v>27</v>
      </c>
      <c r="J14" s="2" t="s">
        <v>32</v>
      </c>
      <c r="K14" s="2" t="s">
        <v>34</v>
      </c>
      <c r="L14" s="2" t="s">
        <v>36</v>
      </c>
      <c r="M14" s="2" t="s">
        <v>38</v>
      </c>
      <c r="N14" s="2" t="s">
        <v>115</v>
      </c>
    </row>
    <row r="15" spans="1:20" ht="21.95" customHeight="1" x14ac:dyDescent="0.25">
      <c r="A15" s="24" t="s">
        <v>116</v>
      </c>
      <c r="B15" s="24"/>
      <c r="C15" s="24"/>
      <c r="D15" s="8">
        <f>МАИ!B43</f>
        <v>0.26364308595618513</v>
      </c>
      <c r="E15" s="8">
        <f>МАИ!C43</f>
        <v>0.19804098834613351</v>
      </c>
      <c r="F15" s="8">
        <f>МАИ!D43</f>
        <v>0.13996366116919301</v>
      </c>
      <c r="G15" s="8">
        <f>МАИ!E43</f>
        <v>6.5328461207859262E-2</v>
      </c>
      <c r="H15" s="8">
        <f>МАИ!F43</f>
        <v>0.16928166772334727</v>
      </c>
      <c r="I15" s="8">
        <f>МАИ!G43</f>
        <v>0.16374213559728185</v>
      </c>
      <c r="J15" s="8">
        <f>SUMPRODUCT($D15:$I15,МАИ!$B$44:$G$44)/SUM($D15:$I15)</f>
        <v>0.32048883045639071</v>
      </c>
      <c r="K15" s="8">
        <f>SUMPRODUCT($D15:$I15,МАИ!$B$45:$G$45)/SUM($D15:$I15)</f>
        <v>0.32869619768291192</v>
      </c>
      <c r="L15" s="8">
        <f>SUMPRODUCT($D15:$I15,МАИ!$B$46:$G$46)/SUM($D15:$I15)</f>
        <v>0.21935170957864059</v>
      </c>
      <c r="M15" s="8">
        <f>SUMPRODUCT($D15:$I15,МАИ!$B$47:$G$47)/SUM($D15:$I15)</f>
        <v>0.13146326228205676</v>
      </c>
      <c r="N15" s="17" t="str">
        <f t="shared" ref="N15:N21" si="0">INDEX($J$14:$M$14,MATCH(MAX(J15:M15),J15:M15,0))</f>
        <v>A2</v>
      </c>
    </row>
    <row r="16" spans="1:20" ht="21.95" customHeight="1" x14ac:dyDescent="0.25">
      <c r="A16" s="24" t="s">
        <v>117</v>
      </c>
      <c r="B16" s="24"/>
      <c r="C16" s="24"/>
      <c r="D16" s="8">
        <f>TOPSIS!H10</f>
        <v>0.77500000000000002</v>
      </c>
      <c r="E16" s="8">
        <f>TOPSIS!H11</f>
        <v>0.7</v>
      </c>
      <c r="F16" s="8">
        <f>TOPSIS!H12</f>
        <v>0.65</v>
      </c>
      <c r="G16" s="8">
        <f>TOPSIS!H13</f>
        <v>0.52500000000000002</v>
      </c>
      <c r="H16" s="8">
        <f>TOPSIS!H14</f>
        <v>0.7</v>
      </c>
      <c r="I16" s="8">
        <f>TOPSIS!H15</f>
        <v>0.65</v>
      </c>
      <c r="J16" s="8">
        <f>SUMPRODUCT($D16:$I16,МАИ!$B$44:$G$44)/SUM($D16:$I16)</f>
        <v>0.31553569646134805</v>
      </c>
      <c r="K16" s="8">
        <f>SUMPRODUCT($D16:$I16,МАИ!$B$45:$G$45)/SUM($D16:$I16)</f>
        <v>0.32807655062797408</v>
      </c>
      <c r="L16" s="8">
        <f>SUMPRODUCT($D16:$I16,МАИ!$B$46:$G$46)/SUM($D16:$I16)</f>
        <v>0.22368619035112483</v>
      </c>
      <c r="M16" s="8">
        <f>SUMPRODUCT($D16:$I16,МАИ!$B$47:$G$47)/SUM($D16:$I16)</f>
        <v>0.13270156255955329</v>
      </c>
      <c r="N16" s="17" t="str">
        <f t="shared" si="0"/>
        <v>A2</v>
      </c>
    </row>
    <row r="17" spans="1:16" ht="21.95" customHeight="1" x14ac:dyDescent="0.25">
      <c r="A17" s="24" t="s">
        <v>118</v>
      </c>
      <c r="B17" s="24"/>
      <c r="C17" s="24"/>
      <c r="D17" s="8">
        <f>1</f>
        <v>1</v>
      </c>
      <c r="E17" s="8">
        <f>1</f>
        <v>1</v>
      </c>
      <c r="F17" s="8">
        <f>1</f>
        <v>1</v>
      </c>
      <c r="G17" s="8">
        <f>1</f>
        <v>1</v>
      </c>
      <c r="H17" s="8">
        <f>1</f>
        <v>1</v>
      </c>
      <c r="I17" s="8">
        <f>1</f>
        <v>1</v>
      </c>
      <c r="J17" s="8">
        <f>SUMPRODUCT($D17:$I17,МАИ!$B$44:$G$44)/SUM($D17:$I17)</f>
        <v>0.31287185247602078</v>
      </c>
      <c r="K17" s="8">
        <f>SUMPRODUCT($D17:$I17,МАИ!$B$45:$G$45)/SUM($D17:$I17)</f>
        <v>0.32587041774918496</v>
      </c>
      <c r="L17" s="8">
        <f>SUMPRODUCT($D17:$I17,МАИ!$B$46:$G$46)/SUM($D17:$I17)</f>
        <v>0.22797433988276863</v>
      </c>
      <c r="M17" s="8">
        <f>SUMPRODUCT($D17:$I17,МАИ!$B$47:$G$47)/SUM($D17:$I17)</f>
        <v>0.13328338989202568</v>
      </c>
      <c r="N17" s="17" t="str">
        <f t="shared" si="0"/>
        <v>A2</v>
      </c>
    </row>
    <row r="18" spans="1:16" ht="21.95" customHeight="1" x14ac:dyDescent="0.25">
      <c r="A18" s="24" t="s">
        <v>119</v>
      </c>
      <c r="B18" s="24"/>
      <c r="C18" s="24"/>
      <c r="D18" s="8">
        <f>МАИ!B43</f>
        <v>0.26364308595618513</v>
      </c>
      <c r="E18" s="8">
        <f>МАИ!C43*0.8</f>
        <v>0.15843279067690683</v>
      </c>
      <c r="F18" s="8">
        <f>МАИ!D43</f>
        <v>0.13996366116919301</v>
      </c>
      <c r="G18" s="8">
        <f>МАИ!E43</f>
        <v>6.5328461207859262E-2</v>
      </c>
      <c r="H18" s="8">
        <f>МАИ!F43</f>
        <v>0.16928166772334727</v>
      </c>
      <c r="I18" s="8">
        <f>МАИ!G43</f>
        <v>0.16374213559728185</v>
      </c>
      <c r="J18" s="8">
        <f>SUMPRODUCT($D18:$I18,МАИ!$B$44:$G$44)/SUM($D18:$I18)</f>
        <v>0.32910660783007917</v>
      </c>
      <c r="K18" s="8">
        <f>SUMPRODUCT($D18:$I18,МАИ!$B$45:$G$45)/SUM($D18:$I18)</f>
        <v>0.32637007713390292</v>
      </c>
      <c r="L18" s="8">
        <f>SUMPRODUCT($D18:$I18,МАИ!$B$46:$G$46)/SUM($D18:$I18)</f>
        <v>0.21721379586201561</v>
      </c>
      <c r="M18" s="8">
        <f>SUMPRODUCT($D18:$I18,МАИ!$B$47:$G$47)/SUM($D18:$I18)</f>
        <v>0.12730951917400224</v>
      </c>
      <c r="N18" s="17" t="str">
        <f t="shared" si="0"/>
        <v>A1</v>
      </c>
    </row>
    <row r="19" spans="1:16" ht="21.95" customHeight="1" x14ac:dyDescent="0.25">
      <c r="A19" s="24" t="s">
        <v>120</v>
      </c>
      <c r="B19" s="24"/>
      <c r="C19" s="24"/>
      <c r="D19" s="8">
        <f>МАИ!B43</f>
        <v>0.26364308595618513</v>
      </c>
      <c r="E19" s="8">
        <f>МАИ!C43*1.2</f>
        <v>0.2376491860153602</v>
      </c>
      <c r="F19" s="8">
        <f>МАИ!D43</f>
        <v>0.13996366116919301</v>
      </c>
      <c r="G19" s="8">
        <f>МАИ!E43</f>
        <v>6.5328461207859262E-2</v>
      </c>
      <c r="H19" s="8">
        <f>МАИ!F43</f>
        <v>0.16928166772334727</v>
      </c>
      <c r="I19" s="8">
        <f>МАИ!G43</f>
        <v>0.16374213559728185</v>
      </c>
      <c r="J19" s="8">
        <f>SUMPRODUCT($D19:$I19,МАИ!$B$44:$G$44)/SUM($D19:$I19)</f>
        <v>0.31252771321764861</v>
      </c>
      <c r="K19" s="8">
        <f>SUMPRODUCT($D19:$I19,МАИ!$B$45:$G$45)/SUM($D19:$I19)</f>
        <v>0.33084507176019395</v>
      </c>
      <c r="L19" s="8">
        <f>SUMPRODUCT($D19:$I19,МАИ!$B$46:$G$46)/SUM($D19:$I19)</f>
        <v>0.22132671786747521</v>
      </c>
      <c r="M19" s="8">
        <f>SUMPRODUCT($D19:$I19,МАИ!$B$47:$G$47)/SUM($D19:$I19)</f>
        <v>0.13530049715468206</v>
      </c>
      <c r="N19" s="17" t="str">
        <f t="shared" si="0"/>
        <v>A2</v>
      </c>
    </row>
    <row r="20" spans="1:16" ht="21.95" customHeight="1" x14ac:dyDescent="0.25">
      <c r="A20" s="24" t="s">
        <v>121</v>
      </c>
      <c r="B20" s="24"/>
      <c r="C20" s="24"/>
      <c r="D20" s="8">
        <f>МАИ!B43</f>
        <v>0.26364308595618513</v>
      </c>
      <c r="E20" s="8">
        <f>МАИ!C43</f>
        <v>0.19804098834613351</v>
      </c>
      <c r="F20" s="8">
        <f>МАИ!D43</f>
        <v>0.13996366116919301</v>
      </c>
      <c r="G20" s="8">
        <f>МАИ!E43</f>
        <v>6.5328461207859262E-2</v>
      </c>
      <c r="H20" s="8">
        <f>МАИ!F43</f>
        <v>0.16928166772334727</v>
      </c>
      <c r="I20" s="8">
        <f>МАИ!G43*0.8</f>
        <v>0.13099370847782549</v>
      </c>
      <c r="J20" s="8">
        <f>SUMPRODUCT($D20:$I20,МАИ!$B$44:$G$44)/SUM($D20:$I20)</f>
        <v>0.31609225401801111</v>
      </c>
      <c r="K20" s="8">
        <f>SUMPRODUCT($D20:$I20,МАИ!$B$45:$G$45)/SUM($D20:$I20)</f>
        <v>0.33618892921956822</v>
      </c>
      <c r="L20" s="8">
        <f>SUMPRODUCT($D20:$I20,МАИ!$B$46:$G$46)/SUM($D20:$I20)</f>
        <v>0.21379047380461114</v>
      </c>
      <c r="M20" s="8">
        <f>SUMPRODUCT($D20:$I20,МАИ!$B$47:$G$47)/SUM($D20:$I20)</f>
        <v>0.13392834295780934</v>
      </c>
      <c r="N20" s="17" t="str">
        <f t="shared" si="0"/>
        <v>A2</v>
      </c>
    </row>
    <row r="21" spans="1:16" ht="21.95" customHeight="1" x14ac:dyDescent="0.25">
      <c r="A21" s="24" t="s">
        <v>122</v>
      </c>
      <c r="B21" s="24"/>
      <c r="C21" s="24"/>
      <c r="D21" s="8">
        <f>МАИ!B43</f>
        <v>0.26364308595618513</v>
      </c>
      <c r="E21" s="8">
        <f>МАИ!C43</f>
        <v>0.19804098834613351</v>
      </c>
      <c r="F21" s="8">
        <f>МАИ!D43</f>
        <v>0.13996366116919301</v>
      </c>
      <c r="G21" s="8">
        <f>МАИ!E43</f>
        <v>6.5328461207859262E-2</v>
      </c>
      <c r="H21" s="8">
        <f>МАИ!F43</f>
        <v>0.16928166772334727</v>
      </c>
      <c r="I21" s="8">
        <f>МАИ!G43*1.2</f>
        <v>0.1964905627167382</v>
      </c>
      <c r="J21" s="8">
        <f>SUMPRODUCT($D21:$I21,МАИ!$B$44:$G$44)/SUM($D21:$I21)</f>
        <v>0.32460657623420175</v>
      </c>
      <c r="K21" s="8">
        <f>SUMPRODUCT($D21:$I21,МАИ!$B$45:$G$45)/SUM($D21:$I21)</f>
        <v>0.32167865481023294</v>
      </c>
      <c r="L21" s="8">
        <f>SUMPRODUCT($D21:$I21,МАИ!$B$46:$G$46)/SUM($D21:$I21)</f>
        <v>0.22456025205455887</v>
      </c>
      <c r="M21" s="8">
        <f>SUMPRODUCT($D21:$I21,МАИ!$B$47:$G$47)/SUM($D21:$I21)</f>
        <v>0.12915451690100632</v>
      </c>
      <c r="N21" s="17" t="str">
        <f t="shared" si="0"/>
        <v>A1</v>
      </c>
    </row>
    <row r="22" spans="1:16" ht="21.95" customHeight="1" x14ac:dyDescent="0.25"/>
    <row r="23" spans="1:16" ht="21.95" customHeight="1" x14ac:dyDescent="0.25">
      <c r="A23" s="25" t="s">
        <v>123</v>
      </c>
      <c r="B23" s="25"/>
      <c r="C23" s="25"/>
      <c r="D23" s="25"/>
      <c r="E23" s="25"/>
      <c r="F23" s="25" t="s">
        <v>124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</row>
  </sheetData>
  <mergeCells count="18">
    <mergeCell ref="A21:C21"/>
    <mergeCell ref="A23:E23"/>
    <mergeCell ref="F23:P23"/>
    <mergeCell ref="A16:C16"/>
    <mergeCell ref="A17:C17"/>
    <mergeCell ref="A18:C18"/>
    <mergeCell ref="A19:C19"/>
    <mergeCell ref="A20:C20"/>
    <mergeCell ref="B8:E8"/>
    <mergeCell ref="B9:E9"/>
    <mergeCell ref="A11:E11"/>
    <mergeCell ref="A14:C14"/>
    <mergeCell ref="A15:C15"/>
    <mergeCell ref="A1:T1"/>
    <mergeCell ref="A2:T2"/>
    <mergeCell ref="B5:E5"/>
    <mergeCell ref="B6:E6"/>
    <mergeCell ref="B7:E7"/>
  </mergeCells>
  <conditionalFormatting sqref="N15:N21">
    <cfRule type="cellIs" dxfId="0" priority="1" operator="equal">
      <formula>"A1"</formula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Оценки</vt:lpstr>
      <vt:lpstr>TOPSIS</vt:lpstr>
      <vt:lpstr>МАИ оценки</vt:lpstr>
      <vt:lpstr>МАИ</vt:lpstr>
      <vt:lpstr>Итог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2026-10-27T14:34:07Z</dcterms:created>
  <dcterms:modified xsi:type="dcterms:W3CDTF">2026-10-27T14:34:23Z</dcterms:modified>
  <cp:category/>
</cp:coreProperties>
</file>