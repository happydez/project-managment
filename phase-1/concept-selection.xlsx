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filterPrivacy="1"/>
  <xr:revisionPtr revIDLastSave="0" documentId="13_ncr:1_{DA1DE77A-6528-4245-B379-06CC93AA6D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Оценки" sheetId="1" r:id="rId1"/>
    <sheet name="TOP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2" l="1"/>
  <c r="E49" i="2"/>
  <c r="D49" i="2"/>
  <c r="F48" i="2"/>
  <c r="E48" i="2"/>
  <c r="D48" i="2"/>
  <c r="F47" i="2"/>
  <c r="E47" i="2"/>
  <c r="D47" i="2"/>
  <c r="F46" i="2"/>
  <c r="E46" i="2"/>
  <c r="D46" i="2"/>
  <c r="H45" i="2" s="1"/>
  <c r="F44" i="2"/>
  <c r="E44" i="2"/>
  <c r="D44" i="2"/>
  <c r="F43" i="2"/>
  <c r="E43" i="2"/>
  <c r="D43" i="2"/>
  <c r="F42" i="2"/>
  <c r="E42" i="2"/>
  <c r="D42" i="2"/>
  <c r="F41" i="2"/>
  <c r="E41" i="2"/>
  <c r="D41" i="2"/>
  <c r="F39" i="2"/>
  <c r="E39" i="2"/>
  <c r="D39" i="2"/>
  <c r="F38" i="2"/>
  <c r="E38" i="2"/>
  <c r="D38" i="2"/>
  <c r="F37" i="2"/>
  <c r="E37" i="2"/>
  <c r="D37" i="2"/>
  <c r="F36" i="2"/>
  <c r="E36" i="2"/>
  <c r="D36" i="2"/>
  <c r="F34" i="2"/>
  <c r="E34" i="2"/>
  <c r="D34" i="2"/>
  <c r="F33" i="2"/>
  <c r="E33" i="2"/>
  <c r="D33" i="2"/>
  <c r="F32" i="2"/>
  <c r="E32" i="2"/>
  <c r="D32" i="2"/>
  <c r="F31" i="2"/>
  <c r="E31" i="2"/>
  <c r="D31" i="2"/>
  <c r="F29" i="2"/>
  <c r="E29" i="2"/>
  <c r="D29" i="2"/>
  <c r="F28" i="2"/>
  <c r="E28" i="2"/>
  <c r="D28" i="2"/>
  <c r="H25" i="2" s="1"/>
  <c r="F27" i="2"/>
  <c r="E27" i="2"/>
  <c r="D27" i="2"/>
  <c r="F26" i="2"/>
  <c r="E26" i="2"/>
  <c r="D26" i="2"/>
  <c r="F24" i="2"/>
  <c r="E24" i="2"/>
  <c r="D24" i="2"/>
  <c r="F23" i="2"/>
  <c r="E23" i="2"/>
  <c r="D23" i="2"/>
  <c r="F22" i="2"/>
  <c r="E22" i="2"/>
  <c r="D22" i="2"/>
  <c r="F21" i="2"/>
  <c r="E21" i="2"/>
  <c r="D21" i="2"/>
  <c r="F15" i="2"/>
  <c r="I15" i="2" s="1"/>
  <c r="E15" i="2"/>
  <c r="H15" i="2" s="1"/>
  <c r="D15" i="2"/>
  <c r="G15" i="2" s="1"/>
  <c r="F14" i="2"/>
  <c r="I14" i="2" s="1"/>
  <c r="E14" i="2"/>
  <c r="H14" i="2" s="1"/>
  <c r="D14" i="2"/>
  <c r="G14" i="2" s="1"/>
  <c r="F13" i="2"/>
  <c r="I13" i="2" s="1"/>
  <c r="E13" i="2"/>
  <c r="H13" i="2" s="1"/>
  <c r="D13" i="2"/>
  <c r="G13" i="2" s="1"/>
  <c r="F12" i="2"/>
  <c r="I12" i="2" s="1"/>
  <c r="E12" i="2"/>
  <c r="H12" i="2" s="1"/>
  <c r="D12" i="2"/>
  <c r="G12" i="2" s="1"/>
  <c r="F11" i="2"/>
  <c r="I11" i="2" s="1"/>
  <c r="E11" i="2"/>
  <c r="H11" i="2" s="1"/>
  <c r="D11" i="2"/>
  <c r="G11" i="2" s="1"/>
  <c r="F10" i="2"/>
  <c r="I10" i="2" s="1"/>
  <c r="E10" i="2"/>
  <c r="H10" i="2" s="1"/>
  <c r="D10" i="2"/>
  <c r="G10" i="2" s="1"/>
  <c r="G46" i="2" l="1"/>
  <c r="J46" i="2" s="1"/>
  <c r="H46" i="2"/>
  <c r="K46" i="2" s="1"/>
  <c r="I46" i="2"/>
  <c r="L46" i="2" s="1"/>
  <c r="G47" i="2"/>
  <c r="J47" i="2" s="1"/>
  <c r="H47" i="2"/>
  <c r="K47" i="2" s="1"/>
  <c r="I47" i="2"/>
  <c r="L47" i="2" s="1"/>
  <c r="G48" i="2"/>
  <c r="J48" i="2" s="1"/>
  <c r="H48" i="2"/>
  <c r="K48" i="2" s="1"/>
  <c r="I48" i="2"/>
  <c r="L48" i="2" s="1"/>
  <c r="G49" i="2"/>
  <c r="J49" i="2" s="1"/>
  <c r="H49" i="2"/>
  <c r="K49" i="2" s="1"/>
  <c r="I49" i="2"/>
  <c r="L49" i="2" s="1"/>
  <c r="H40" i="2"/>
  <c r="I42" i="2" s="1"/>
  <c r="L42" i="2" s="1"/>
  <c r="H35" i="2"/>
  <c r="I36" i="2" s="1"/>
  <c r="L36" i="2" s="1"/>
  <c r="H30" i="2"/>
  <c r="I31" i="2" s="1"/>
  <c r="L31" i="2" s="1"/>
  <c r="I29" i="2"/>
  <c r="L29" i="2" s="1"/>
  <c r="H29" i="2"/>
  <c r="K29" i="2" s="1"/>
  <c r="G29" i="2"/>
  <c r="J29" i="2" s="1"/>
  <c r="I28" i="2"/>
  <c r="L28" i="2" s="1"/>
  <c r="H28" i="2"/>
  <c r="K28" i="2" s="1"/>
  <c r="G28" i="2"/>
  <c r="J28" i="2" s="1"/>
  <c r="I27" i="2"/>
  <c r="L27" i="2" s="1"/>
  <c r="H27" i="2"/>
  <c r="K27" i="2" s="1"/>
  <c r="G27" i="2"/>
  <c r="J27" i="2" s="1"/>
  <c r="I26" i="2"/>
  <c r="L26" i="2" s="1"/>
  <c r="H26" i="2"/>
  <c r="K26" i="2" s="1"/>
  <c r="G26" i="2"/>
  <c r="J26" i="2" s="1"/>
  <c r="H20" i="2"/>
  <c r="I24" i="2" s="1"/>
  <c r="L24" i="2" s="1"/>
  <c r="M46" i="2" l="1"/>
  <c r="N46" i="2"/>
  <c r="M47" i="2"/>
  <c r="N47" i="2"/>
  <c r="N48" i="2"/>
  <c r="M48" i="2"/>
  <c r="M49" i="2"/>
  <c r="N49" i="2"/>
  <c r="G41" i="2"/>
  <c r="J41" i="2" s="1"/>
  <c r="H41" i="2"/>
  <c r="K41" i="2" s="1"/>
  <c r="I41" i="2"/>
  <c r="L41" i="2" s="1"/>
  <c r="G42" i="2"/>
  <c r="J42" i="2" s="1"/>
  <c r="H42" i="2"/>
  <c r="K42" i="2" s="1"/>
  <c r="G43" i="2"/>
  <c r="J43" i="2" s="1"/>
  <c r="H43" i="2"/>
  <c r="K43" i="2" s="1"/>
  <c r="I43" i="2"/>
  <c r="L43" i="2" s="1"/>
  <c r="G44" i="2"/>
  <c r="J44" i="2" s="1"/>
  <c r="H44" i="2"/>
  <c r="K44" i="2" s="1"/>
  <c r="I44" i="2"/>
  <c r="L44" i="2" s="1"/>
  <c r="G36" i="2"/>
  <c r="J36" i="2" s="1"/>
  <c r="H36" i="2"/>
  <c r="K36" i="2" s="1"/>
  <c r="G37" i="2"/>
  <c r="J37" i="2" s="1"/>
  <c r="H37" i="2"/>
  <c r="K37" i="2" s="1"/>
  <c r="G38" i="2"/>
  <c r="J38" i="2" s="1"/>
  <c r="H38" i="2"/>
  <c r="K38" i="2" s="1"/>
  <c r="I38" i="2"/>
  <c r="L38" i="2" s="1"/>
  <c r="G39" i="2"/>
  <c r="J39" i="2" s="1"/>
  <c r="H39" i="2"/>
  <c r="K39" i="2" s="1"/>
  <c r="I39" i="2"/>
  <c r="L39" i="2" s="1"/>
  <c r="I37" i="2"/>
  <c r="L37" i="2" s="1"/>
  <c r="H34" i="2"/>
  <c r="K34" i="2" s="1"/>
  <c r="I34" i="2"/>
  <c r="L34" i="2" s="1"/>
  <c r="G31" i="2"/>
  <c r="J31" i="2" s="1"/>
  <c r="H31" i="2"/>
  <c r="K31" i="2" s="1"/>
  <c r="G32" i="2"/>
  <c r="J32" i="2" s="1"/>
  <c r="H32" i="2"/>
  <c r="K32" i="2" s="1"/>
  <c r="I32" i="2"/>
  <c r="L32" i="2" s="1"/>
  <c r="G33" i="2"/>
  <c r="J33" i="2" s="1"/>
  <c r="H33" i="2"/>
  <c r="K33" i="2" s="1"/>
  <c r="G34" i="2"/>
  <c r="J34" i="2" s="1"/>
  <c r="I33" i="2"/>
  <c r="L33" i="2" s="1"/>
  <c r="M29" i="2"/>
  <c r="N29" i="2"/>
  <c r="M28" i="2"/>
  <c r="N28" i="2"/>
  <c r="N27" i="2"/>
  <c r="M27" i="2"/>
  <c r="M26" i="2"/>
  <c r="N26" i="2"/>
  <c r="G21" i="2"/>
  <c r="J21" i="2" s="1"/>
  <c r="H21" i="2"/>
  <c r="K21" i="2" s="1"/>
  <c r="G22" i="2"/>
  <c r="J22" i="2" s="1"/>
  <c r="H22" i="2"/>
  <c r="K22" i="2" s="1"/>
  <c r="G23" i="2"/>
  <c r="J23" i="2" s="1"/>
  <c r="H23" i="2"/>
  <c r="K23" i="2" s="1"/>
  <c r="I23" i="2"/>
  <c r="L23" i="2" s="1"/>
  <c r="H24" i="2"/>
  <c r="K24" i="2" s="1"/>
  <c r="I21" i="2"/>
  <c r="L21" i="2" s="1"/>
  <c r="I22" i="2"/>
  <c r="L22" i="2" s="1"/>
  <c r="G24" i="2"/>
  <c r="J24" i="2" s="1"/>
  <c r="N41" i="2" l="1"/>
  <c r="M41" i="2"/>
  <c r="N42" i="2"/>
  <c r="M42" i="2"/>
  <c r="N43" i="2"/>
  <c r="M43" i="2"/>
  <c r="M44" i="2"/>
  <c r="N44" i="2"/>
  <c r="N36" i="2"/>
  <c r="M36" i="2"/>
  <c r="N37" i="2"/>
  <c r="M37" i="2"/>
  <c r="M38" i="2"/>
  <c r="N38" i="2"/>
  <c r="N39" i="2"/>
  <c r="M39" i="2"/>
  <c r="N31" i="2"/>
  <c r="M31" i="2"/>
  <c r="N32" i="2"/>
  <c r="M32" i="2"/>
  <c r="N33" i="2"/>
  <c r="M33" i="2"/>
  <c r="N34" i="2"/>
  <c r="M34" i="2"/>
  <c r="N21" i="2"/>
  <c r="M21" i="2"/>
  <c r="D53" i="2" s="1"/>
  <c r="N22" i="2"/>
  <c r="E54" i="2" s="1"/>
  <c r="M22" i="2"/>
  <c r="D54" i="2" s="1"/>
  <c r="N23" i="2"/>
  <c r="E55" i="2" s="1"/>
  <c r="M23" i="2"/>
  <c r="D55" i="2" s="1"/>
  <c r="M24" i="2"/>
  <c r="D56" i="2" s="1"/>
  <c r="N24" i="2"/>
  <c r="E56" i="2" s="1"/>
  <c r="F54" i="2" l="1"/>
  <c r="E53" i="2"/>
  <c r="F53" i="2" s="1"/>
  <c r="G53" i="2" s="1"/>
  <c r="C58" i="2" s="1"/>
  <c r="F55" i="2"/>
  <c r="F56" i="2"/>
  <c r="G56" i="2" l="1"/>
  <c r="G55" i="2"/>
  <c r="G54" i="2"/>
</calcChain>
</file>

<file path=xl/sharedStrings.xml><?xml version="1.0" encoding="utf-8"?>
<sst xmlns="http://schemas.openxmlformats.org/spreadsheetml/2006/main" count="329" uniqueCount="73">
  <si>
    <t>Фаза 1. Экспертные оценки важности критериев и альтернатив</t>
  </si>
  <si>
    <t>Шкала 1-10. Каждый эксперт даёт тройку: мин (наименьшее значение, которое он допускает), ожид (наиболее вероятное), макс (наибольшее).</t>
  </si>
  <si>
    <t>Для MIN-критериев (C2, C6) оценивается величина критерия: 10 - очень сложно или очень сильная зависимость.</t>
  </si>
  <si>
    <t>Ячейки на сером фоне - оценки экспертов. Если в тройке нарушен порядок мин &lt;= ожид &lt;= макс, она подсвечивается красным.</t>
  </si>
  <si>
    <t>1. Важность критериев</t>
  </si>
  <si>
    <t>Код</t>
  </si>
  <si>
    <t>Критерий</t>
  </si>
  <si>
    <t>Тип</t>
  </si>
  <si>
    <t>E1 Колесникова А. А.</t>
  </si>
  <si>
    <t>E2 Пашинский П. В.</t>
  </si>
  <si>
    <t>E3 Степаненко А. И.</t>
  </si>
  <si>
    <t>E4 Кащенко А. В.</t>
  </si>
  <si>
    <t>мин</t>
  </si>
  <si>
    <t>ожид</t>
  </si>
  <si>
    <t>макс</t>
  </si>
  <si>
    <t>C1</t>
  </si>
  <si>
    <t>Ясность и формализуемость требований</t>
  </si>
  <si>
    <t>MAX</t>
  </si>
  <si>
    <t>C2</t>
  </si>
  <si>
    <t>Техническая сложность реализации</t>
  </si>
  <si>
    <t>MIN</t>
  </si>
  <si>
    <t>C3</t>
  </si>
  <si>
    <t>Знакомство команды с предметной областью</t>
  </si>
  <si>
    <t>C4</t>
  </si>
  <si>
    <t>Практическая полезность</t>
  </si>
  <si>
    <t>C5</t>
  </si>
  <si>
    <t>Разнообразие видов работ</t>
  </si>
  <si>
    <t>C6</t>
  </si>
  <si>
    <t>Зависимость от внешних систем</t>
  </si>
  <si>
    <t>2. Оценки альтернатив по критериям</t>
  </si>
  <si>
    <t>Альтернатива</t>
  </si>
  <si>
    <t>C1. Ясность и формализуемость требований (MAX)</t>
  </si>
  <si>
    <t>A1</t>
  </si>
  <si>
    <t>Управление системными службами</t>
  </si>
  <si>
    <t>A2</t>
  </si>
  <si>
    <t>Мониторинг доступности</t>
  </si>
  <si>
    <t>A3</t>
  </si>
  <si>
    <t>Контроль резервного копирования</t>
  </si>
  <si>
    <t>A4</t>
  </si>
  <si>
    <t>Бот оповещений аудита</t>
  </si>
  <si>
    <t>C2. Техническая сложность реализации (MIN)</t>
  </si>
  <si>
    <t>C3. Знакомство команды с предметной областью (MAX)</t>
  </si>
  <si>
    <t>C4. Практическая полезность (MAX)</t>
  </si>
  <si>
    <t>C5. Разнообразие видов работ (MAX)</t>
  </si>
  <si>
    <t>C6. Зависимость от внешних систем (MIN)</t>
  </si>
  <si>
    <t>Фаза 1. Нечёткий коллективный TOPSIS (метод Чена)</t>
  </si>
  <si>
    <t>Коллективная тройка: l = минимум из «мин» экспертов, m = среднее из «ожид», u = максимум из «макс». Веса делятся на 10, чтобы попасть в [0; 1].</t>
  </si>
  <si>
    <t>Нормализация: MAX - (l/u*, m/u*, u/u*), u* = наибольшее u по критерию; MIN - (l-/u, l-/m, l-/l), l- = наименьшее l по критерию.</t>
  </si>
  <si>
    <t>Взвешивание: покомпонентное умножение на нечёткий вес. FPIS = (1; 1; 1), FNIS = (0; 0; 0).</t>
  </si>
  <si>
    <t>d(a, b) = корень(1/3 * ((a1-b1)^2 + (a2-b2)^2 + (a3-b3)^2)). D+ и D- - суммы d по критериям, CC = D- / (D+ + D-).</t>
  </si>
  <si>
    <t>1. Коллективные нечёткие веса критериев</t>
  </si>
  <si>
    <t>Коллективная оценка</t>
  </si>
  <si>
    <t>Нечёткий вес</t>
  </si>
  <si>
    <t>l</t>
  </si>
  <si>
    <t>m</t>
  </si>
  <si>
    <t>u</t>
  </si>
  <si>
    <t>w_l</t>
  </si>
  <si>
    <t>w_m</t>
  </si>
  <si>
    <t>w_u</t>
  </si>
  <si>
    <t>2. Коллективные оценки, нормализация, взвешивание и расстояния</t>
  </si>
  <si>
    <t>Нормализованная</t>
  </si>
  <si>
    <t>Взвешенная</t>
  </si>
  <si>
    <t>d+</t>
  </si>
  <si>
    <t>d-</t>
  </si>
  <si>
    <t>u* =</t>
  </si>
  <si>
    <t/>
  </si>
  <si>
    <t>l- =</t>
  </si>
  <si>
    <t>3. Коэффициент близости и ранжирование</t>
  </si>
  <si>
    <t>D+</t>
  </si>
  <si>
    <t>D-</t>
  </si>
  <si>
    <t>CC</t>
  </si>
  <si>
    <t>Ранг</t>
  </si>
  <si>
    <t>Наиболее подходящий вариант: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</si>
</sst>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6"/>
      <name val="Times New Roman"/>
    </font>
    <font>
      <sz val="14"/>
      <name val="Times New Roman"/>
    </font>
    <font>
      <b/>
      <sz val="14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E4E4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29"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9"/>
  <sheetViews>
    <sheetView tabSelected="1" workbookViewId="0">
      <selection sqref="A1:O1"/>
    </sheetView>
  </sheetViews>
  <sheetFormatPr defaultRowHeight="15" x14ac:dyDescent="0.25"/>
  <cols>
    <col min="1" max="1" width="8" customWidth="1"/>
    <col min="2" max="2" width="54" customWidth="1"/>
  </cols>
  <sheetData>
    <row r="1" spans="1:15" ht="26.1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.95" customHeight="1" x14ac:dyDescent="0.25">
      <c r="A2" s="14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ht="21.95" customHeight="1" x14ac:dyDescent="0.25">
      <c r="A3" s="14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ht="21.95" customHeight="1" x14ac:dyDescent="0.25">
      <c r="A4" s="14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ht="21.95" customHeight="1" x14ac:dyDescent="0.25"/>
    <row r="6" spans="1:15" ht="21.95" customHeight="1" x14ac:dyDescent="0.25">
      <c r="A6" s="1" t="s">
        <v>4</v>
      </c>
    </row>
    <row r="7" spans="1:15" ht="21.95" customHeight="1" x14ac:dyDescent="0.25">
      <c r="A7" s="15" t="s">
        <v>5</v>
      </c>
      <c r="B7" s="15" t="s">
        <v>6</v>
      </c>
      <c r="C7" s="15" t="s">
        <v>7</v>
      </c>
      <c r="D7" s="15" t="s">
        <v>8</v>
      </c>
      <c r="E7" s="15"/>
      <c r="F7" s="15"/>
      <c r="G7" s="15" t="s">
        <v>9</v>
      </c>
      <c r="H7" s="15"/>
      <c r="I7" s="15"/>
      <c r="J7" s="15" t="s">
        <v>10</v>
      </c>
      <c r="K7" s="15"/>
      <c r="L7" s="15"/>
      <c r="M7" s="15" t="s">
        <v>11</v>
      </c>
      <c r="N7" s="15"/>
      <c r="O7" s="15"/>
    </row>
    <row r="8" spans="1:15" ht="21.95" customHeight="1" x14ac:dyDescent="0.25">
      <c r="A8" s="15"/>
      <c r="B8" s="15"/>
      <c r="C8" s="15"/>
      <c r="D8" s="2" t="s">
        <v>12</v>
      </c>
      <c r="E8" s="2" t="s">
        <v>13</v>
      </c>
      <c r="F8" s="2" t="s">
        <v>14</v>
      </c>
      <c r="G8" s="2" t="s">
        <v>12</v>
      </c>
      <c r="H8" s="2" t="s">
        <v>13</v>
      </c>
      <c r="I8" s="2" t="s">
        <v>14</v>
      </c>
      <c r="J8" s="2" t="s">
        <v>12</v>
      </c>
      <c r="K8" s="2" t="s">
        <v>13</v>
      </c>
      <c r="L8" s="2" t="s">
        <v>14</v>
      </c>
      <c r="M8" s="2" t="s">
        <v>12</v>
      </c>
      <c r="N8" s="2" t="s">
        <v>13</v>
      </c>
      <c r="O8" s="2" t="s">
        <v>14</v>
      </c>
    </row>
    <row r="9" spans="1:15" ht="21.95" customHeight="1" x14ac:dyDescent="0.25">
      <c r="A9" s="2" t="s">
        <v>15</v>
      </c>
      <c r="B9" s="3" t="s">
        <v>16</v>
      </c>
      <c r="C9" s="4" t="s">
        <v>17</v>
      </c>
      <c r="D9" s="5">
        <v>7</v>
      </c>
      <c r="E9" s="5">
        <v>8</v>
      </c>
      <c r="F9" s="5">
        <v>9</v>
      </c>
      <c r="G9" s="5">
        <v>6</v>
      </c>
      <c r="H9" s="5">
        <v>7</v>
      </c>
      <c r="I9" s="5">
        <v>9</v>
      </c>
      <c r="J9" s="5">
        <v>8</v>
      </c>
      <c r="K9" s="5">
        <v>9</v>
      </c>
      <c r="L9" s="5">
        <v>10</v>
      </c>
      <c r="M9" s="5">
        <v>6</v>
      </c>
      <c r="N9" s="5">
        <v>7</v>
      </c>
      <c r="O9" s="5">
        <v>8</v>
      </c>
    </row>
    <row r="10" spans="1:15" ht="21.95" customHeight="1" x14ac:dyDescent="0.25">
      <c r="A10" s="2" t="s">
        <v>18</v>
      </c>
      <c r="B10" s="3" t="s">
        <v>19</v>
      </c>
      <c r="C10" s="4" t="s">
        <v>20</v>
      </c>
      <c r="D10" s="5">
        <v>5</v>
      </c>
      <c r="E10" s="5">
        <v>7</v>
      </c>
      <c r="F10" s="5">
        <v>8</v>
      </c>
      <c r="G10" s="5">
        <v>6</v>
      </c>
      <c r="H10" s="5">
        <v>8</v>
      </c>
      <c r="I10" s="5">
        <v>9</v>
      </c>
      <c r="J10" s="5">
        <v>5</v>
      </c>
      <c r="K10" s="5">
        <v>6</v>
      </c>
      <c r="L10" s="5">
        <v>7</v>
      </c>
      <c r="M10" s="5">
        <v>6</v>
      </c>
      <c r="N10" s="5">
        <v>7</v>
      </c>
      <c r="O10" s="5">
        <v>8</v>
      </c>
    </row>
    <row r="11" spans="1:15" ht="21.95" customHeight="1" x14ac:dyDescent="0.25">
      <c r="A11" s="2" t="s">
        <v>21</v>
      </c>
      <c r="B11" s="3" t="s">
        <v>22</v>
      </c>
      <c r="C11" s="4" t="s">
        <v>17</v>
      </c>
      <c r="D11" s="5">
        <v>5</v>
      </c>
      <c r="E11" s="5">
        <v>6</v>
      </c>
      <c r="F11" s="5">
        <v>7</v>
      </c>
      <c r="G11" s="5">
        <v>4</v>
      </c>
      <c r="H11" s="5">
        <v>5</v>
      </c>
      <c r="I11" s="5">
        <v>6</v>
      </c>
      <c r="J11" s="5">
        <v>6</v>
      </c>
      <c r="K11" s="5">
        <v>7</v>
      </c>
      <c r="L11" s="5">
        <v>8</v>
      </c>
      <c r="M11" s="5">
        <v>7</v>
      </c>
      <c r="N11" s="5">
        <v>8</v>
      </c>
      <c r="O11" s="5">
        <v>9</v>
      </c>
    </row>
    <row r="12" spans="1:15" ht="21.95" customHeight="1" x14ac:dyDescent="0.25">
      <c r="A12" s="2" t="s">
        <v>23</v>
      </c>
      <c r="B12" s="3" t="s">
        <v>24</v>
      </c>
      <c r="C12" s="4" t="s">
        <v>17</v>
      </c>
      <c r="D12" s="5">
        <v>4</v>
      </c>
      <c r="E12" s="5">
        <v>5</v>
      </c>
      <c r="F12" s="5">
        <v>6</v>
      </c>
      <c r="G12" s="5">
        <v>5</v>
      </c>
      <c r="H12" s="5">
        <v>6</v>
      </c>
      <c r="I12" s="5">
        <v>7</v>
      </c>
      <c r="J12" s="5">
        <v>3</v>
      </c>
      <c r="K12" s="5">
        <v>4</v>
      </c>
      <c r="L12" s="5">
        <v>6</v>
      </c>
      <c r="M12" s="5">
        <v>5</v>
      </c>
      <c r="N12" s="5">
        <v>6</v>
      </c>
      <c r="O12" s="5">
        <v>7</v>
      </c>
    </row>
    <row r="13" spans="1:15" ht="21.95" customHeight="1" x14ac:dyDescent="0.25">
      <c r="A13" s="2" t="s">
        <v>25</v>
      </c>
      <c r="B13" s="3" t="s">
        <v>26</v>
      </c>
      <c r="C13" s="4" t="s">
        <v>17</v>
      </c>
      <c r="D13" s="5">
        <v>6</v>
      </c>
      <c r="E13" s="5">
        <v>7</v>
      </c>
      <c r="F13" s="5">
        <v>8</v>
      </c>
      <c r="G13" s="5">
        <v>5</v>
      </c>
      <c r="H13" s="5">
        <v>6</v>
      </c>
      <c r="I13" s="5">
        <v>8</v>
      </c>
      <c r="J13" s="5">
        <v>7</v>
      </c>
      <c r="K13" s="5">
        <v>8</v>
      </c>
      <c r="L13" s="5">
        <v>9</v>
      </c>
      <c r="M13" s="5">
        <v>6</v>
      </c>
      <c r="N13" s="5">
        <v>7</v>
      </c>
      <c r="O13" s="5">
        <v>8</v>
      </c>
    </row>
    <row r="14" spans="1:15" ht="21.95" customHeight="1" x14ac:dyDescent="0.25">
      <c r="A14" s="2" t="s">
        <v>27</v>
      </c>
      <c r="B14" s="3" t="s">
        <v>28</v>
      </c>
      <c r="C14" s="4" t="s">
        <v>20</v>
      </c>
      <c r="D14" s="5">
        <v>5</v>
      </c>
      <c r="E14" s="5">
        <v>6</v>
      </c>
      <c r="F14" s="5">
        <v>7</v>
      </c>
      <c r="G14" s="5">
        <v>6</v>
      </c>
      <c r="H14" s="5">
        <v>7</v>
      </c>
      <c r="I14" s="5">
        <v>8</v>
      </c>
      <c r="J14" s="5">
        <v>4</v>
      </c>
      <c r="K14" s="5">
        <v>5</v>
      </c>
      <c r="L14" s="5">
        <v>6</v>
      </c>
      <c r="M14" s="5">
        <v>7</v>
      </c>
      <c r="N14" s="5">
        <v>8</v>
      </c>
      <c r="O14" s="5">
        <v>9</v>
      </c>
    </row>
    <row r="15" spans="1:15" ht="21.95" customHeight="1" x14ac:dyDescent="0.25"/>
    <row r="16" spans="1:15" ht="21.95" customHeight="1" x14ac:dyDescent="0.25">
      <c r="A16" s="1" t="s">
        <v>29</v>
      </c>
    </row>
    <row r="17" spans="1:15" ht="21.95" customHeight="1" x14ac:dyDescent="0.25">
      <c r="A17" s="15" t="s">
        <v>5</v>
      </c>
      <c r="B17" s="15" t="s">
        <v>30</v>
      </c>
      <c r="C17" s="15" t="s">
        <v>7</v>
      </c>
      <c r="D17" s="15" t="s">
        <v>8</v>
      </c>
      <c r="E17" s="15"/>
      <c r="F17" s="15"/>
      <c r="G17" s="15" t="s">
        <v>9</v>
      </c>
      <c r="H17" s="15"/>
      <c r="I17" s="15"/>
      <c r="J17" s="15" t="s">
        <v>10</v>
      </c>
      <c r="K17" s="15"/>
      <c r="L17" s="15"/>
      <c r="M17" s="15" t="s">
        <v>11</v>
      </c>
      <c r="N17" s="15"/>
      <c r="O17" s="15"/>
    </row>
    <row r="18" spans="1:15" ht="21.95" customHeight="1" x14ac:dyDescent="0.25">
      <c r="A18" s="15"/>
      <c r="B18" s="15"/>
      <c r="C18" s="15"/>
      <c r="D18" s="2" t="s">
        <v>12</v>
      </c>
      <c r="E18" s="2" t="s">
        <v>13</v>
      </c>
      <c r="F18" s="2" t="s">
        <v>14</v>
      </c>
      <c r="G18" s="2" t="s">
        <v>12</v>
      </c>
      <c r="H18" s="2" t="s">
        <v>13</v>
      </c>
      <c r="I18" s="2" t="s">
        <v>14</v>
      </c>
      <c r="J18" s="2" t="s">
        <v>12</v>
      </c>
      <c r="K18" s="2" t="s">
        <v>13</v>
      </c>
      <c r="L18" s="2" t="s">
        <v>14</v>
      </c>
      <c r="M18" s="2" t="s">
        <v>12</v>
      </c>
      <c r="N18" s="2" t="s">
        <v>13</v>
      </c>
      <c r="O18" s="2" t="s">
        <v>14</v>
      </c>
    </row>
    <row r="19" spans="1:15" ht="21.95" customHeight="1" x14ac:dyDescent="0.25">
      <c r="A19" s="16" t="s">
        <v>31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 spans="1:15" ht="21.95" customHeight="1" x14ac:dyDescent="0.25">
      <c r="A20" s="2" t="s">
        <v>32</v>
      </c>
      <c r="B20" s="3" t="s">
        <v>33</v>
      </c>
      <c r="C20" s="4" t="s">
        <v>17</v>
      </c>
      <c r="D20" s="5">
        <v>7</v>
      </c>
      <c r="E20" s="5">
        <v>8</v>
      </c>
      <c r="F20" s="5">
        <v>9</v>
      </c>
      <c r="G20" s="5">
        <v>6</v>
      </c>
      <c r="H20" s="5">
        <v>7</v>
      </c>
      <c r="I20" s="5">
        <v>8</v>
      </c>
      <c r="J20" s="5">
        <v>7</v>
      </c>
      <c r="K20" s="5">
        <v>8</v>
      </c>
      <c r="L20" s="5">
        <v>9</v>
      </c>
      <c r="M20" s="5">
        <v>8</v>
      </c>
      <c r="N20" s="5">
        <v>9</v>
      </c>
      <c r="O20" s="5">
        <v>10</v>
      </c>
    </row>
    <row r="21" spans="1:15" ht="21.95" customHeight="1" x14ac:dyDescent="0.25">
      <c r="A21" s="2" t="s">
        <v>34</v>
      </c>
      <c r="B21" s="3" t="s">
        <v>35</v>
      </c>
      <c r="C21" s="4" t="s">
        <v>17</v>
      </c>
      <c r="D21" s="5">
        <v>7</v>
      </c>
      <c r="E21" s="5">
        <v>8</v>
      </c>
      <c r="F21" s="5">
        <v>9</v>
      </c>
      <c r="G21" s="5">
        <v>7</v>
      </c>
      <c r="H21" s="5">
        <v>8</v>
      </c>
      <c r="I21" s="5">
        <v>9</v>
      </c>
      <c r="J21" s="5">
        <v>6</v>
      </c>
      <c r="K21" s="5">
        <v>7</v>
      </c>
      <c r="L21" s="5">
        <v>9</v>
      </c>
      <c r="M21" s="5">
        <v>7</v>
      </c>
      <c r="N21" s="5">
        <v>8</v>
      </c>
      <c r="O21" s="5">
        <v>9</v>
      </c>
    </row>
    <row r="22" spans="1:15" ht="21.95" customHeight="1" x14ac:dyDescent="0.25">
      <c r="A22" s="2" t="s">
        <v>36</v>
      </c>
      <c r="B22" s="3" t="s">
        <v>37</v>
      </c>
      <c r="C22" s="4" t="s">
        <v>17</v>
      </c>
      <c r="D22" s="5">
        <v>6</v>
      </c>
      <c r="E22" s="5">
        <v>7</v>
      </c>
      <c r="F22" s="5">
        <v>8</v>
      </c>
      <c r="G22" s="5">
        <v>6</v>
      </c>
      <c r="H22" s="5">
        <v>7</v>
      </c>
      <c r="I22" s="5">
        <v>8</v>
      </c>
      <c r="J22" s="5">
        <v>5</v>
      </c>
      <c r="K22" s="5">
        <v>6</v>
      </c>
      <c r="L22" s="5">
        <v>8</v>
      </c>
      <c r="M22" s="5">
        <v>6</v>
      </c>
      <c r="N22" s="5">
        <v>7</v>
      </c>
      <c r="O22" s="5">
        <v>8</v>
      </c>
    </row>
    <row r="23" spans="1:15" ht="21.95" customHeight="1" x14ac:dyDescent="0.25">
      <c r="A23" s="2" t="s">
        <v>38</v>
      </c>
      <c r="B23" s="3" t="s">
        <v>39</v>
      </c>
      <c r="C23" s="4" t="s">
        <v>17</v>
      </c>
      <c r="D23" s="5">
        <v>5</v>
      </c>
      <c r="E23" s="5">
        <v>6</v>
      </c>
      <c r="F23" s="5">
        <v>7</v>
      </c>
      <c r="G23" s="5">
        <v>4</v>
      </c>
      <c r="H23" s="5">
        <v>5</v>
      </c>
      <c r="I23" s="5">
        <v>7</v>
      </c>
      <c r="J23" s="5">
        <v>5</v>
      </c>
      <c r="K23" s="5">
        <v>6</v>
      </c>
      <c r="L23" s="5">
        <v>7</v>
      </c>
      <c r="M23" s="5">
        <v>6</v>
      </c>
      <c r="N23" s="5">
        <v>7</v>
      </c>
      <c r="O23" s="5">
        <v>8</v>
      </c>
    </row>
    <row r="24" spans="1:15" ht="21.95" customHeight="1" x14ac:dyDescent="0.25">
      <c r="A24" s="16" t="s">
        <v>40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 spans="1:15" ht="21.95" customHeight="1" x14ac:dyDescent="0.25">
      <c r="A25" s="2" t="s">
        <v>32</v>
      </c>
      <c r="B25" s="3" t="s">
        <v>33</v>
      </c>
      <c r="C25" s="4" t="s">
        <v>20</v>
      </c>
      <c r="D25" s="5">
        <v>6</v>
      </c>
      <c r="E25" s="5">
        <v>7</v>
      </c>
      <c r="F25" s="5">
        <v>8</v>
      </c>
      <c r="G25" s="5">
        <v>7</v>
      </c>
      <c r="H25" s="5">
        <v>8</v>
      </c>
      <c r="I25" s="5">
        <v>9</v>
      </c>
      <c r="J25" s="5">
        <v>6</v>
      </c>
      <c r="K25" s="5">
        <v>7</v>
      </c>
      <c r="L25" s="5">
        <v>9</v>
      </c>
      <c r="M25" s="5">
        <v>5</v>
      </c>
      <c r="N25" s="5">
        <v>6</v>
      </c>
      <c r="O25" s="5">
        <v>8</v>
      </c>
    </row>
    <row r="26" spans="1:15" ht="21.95" customHeight="1" x14ac:dyDescent="0.25">
      <c r="A26" s="2" t="s">
        <v>34</v>
      </c>
      <c r="B26" s="3" t="s">
        <v>35</v>
      </c>
      <c r="C26" s="4" t="s">
        <v>20</v>
      </c>
      <c r="D26" s="5">
        <v>4</v>
      </c>
      <c r="E26" s="5">
        <v>5</v>
      </c>
      <c r="F26" s="5">
        <v>6</v>
      </c>
      <c r="G26" s="5">
        <v>4</v>
      </c>
      <c r="H26" s="5">
        <v>5</v>
      </c>
      <c r="I26" s="5">
        <v>7</v>
      </c>
      <c r="J26" s="5">
        <v>5</v>
      </c>
      <c r="K26" s="5">
        <v>6</v>
      </c>
      <c r="L26" s="5">
        <v>7</v>
      </c>
      <c r="M26" s="5">
        <v>4</v>
      </c>
      <c r="N26" s="5">
        <v>5</v>
      </c>
      <c r="O26" s="5">
        <v>6</v>
      </c>
    </row>
    <row r="27" spans="1:15" ht="21.95" customHeight="1" x14ac:dyDescent="0.25">
      <c r="A27" s="2" t="s">
        <v>36</v>
      </c>
      <c r="B27" s="3" t="s">
        <v>37</v>
      </c>
      <c r="C27" s="4" t="s">
        <v>20</v>
      </c>
      <c r="D27" s="5">
        <v>4</v>
      </c>
      <c r="E27" s="5">
        <v>5</v>
      </c>
      <c r="F27" s="5">
        <v>7</v>
      </c>
      <c r="G27" s="5">
        <v>4</v>
      </c>
      <c r="H27" s="5">
        <v>6</v>
      </c>
      <c r="I27" s="5">
        <v>7</v>
      </c>
      <c r="J27" s="5">
        <v>4</v>
      </c>
      <c r="K27" s="5">
        <v>5</v>
      </c>
      <c r="L27" s="5">
        <v>6</v>
      </c>
      <c r="M27" s="5">
        <v>5</v>
      </c>
      <c r="N27" s="5">
        <v>6</v>
      </c>
      <c r="O27" s="5">
        <v>7</v>
      </c>
    </row>
    <row r="28" spans="1:15" ht="21.95" customHeight="1" x14ac:dyDescent="0.25">
      <c r="A28" s="2" t="s">
        <v>38</v>
      </c>
      <c r="B28" s="3" t="s">
        <v>39</v>
      </c>
      <c r="C28" s="4" t="s">
        <v>20</v>
      </c>
      <c r="D28" s="5">
        <v>5</v>
      </c>
      <c r="E28" s="5">
        <v>6</v>
      </c>
      <c r="F28" s="5">
        <v>7</v>
      </c>
      <c r="G28" s="5">
        <v>5</v>
      </c>
      <c r="H28" s="5">
        <v>6</v>
      </c>
      <c r="I28" s="5">
        <v>8</v>
      </c>
      <c r="J28" s="5">
        <v>4</v>
      </c>
      <c r="K28" s="5">
        <v>5</v>
      </c>
      <c r="L28" s="5">
        <v>7</v>
      </c>
      <c r="M28" s="5">
        <v>5</v>
      </c>
      <c r="N28" s="5">
        <v>6</v>
      </c>
      <c r="O28" s="5">
        <v>7</v>
      </c>
    </row>
    <row r="29" spans="1:15" ht="21.95" customHeight="1" x14ac:dyDescent="0.25">
      <c r="A29" s="16" t="s">
        <v>41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</row>
    <row r="30" spans="1:15" ht="21.95" customHeight="1" x14ac:dyDescent="0.25">
      <c r="A30" s="2" t="s">
        <v>32</v>
      </c>
      <c r="B30" s="3" t="s">
        <v>33</v>
      </c>
      <c r="C30" s="4" t="s">
        <v>17</v>
      </c>
      <c r="D30" s="5">
        <v>5</v>
      </c>
      <c r="E30" s="5">
        <v>6</v>
      </c>
      <c r="F30" s="5">
        <v>7</v>
      </c>
      <c r="G30" s="5">
        <v>5</v>
      </c>
      <c r="H30" s="5">
        <v>6</v>
      </c>
      <c r="I30" s="5">
        <v>8</v>
      </c>
      <c r="J30" s="5">
        <v>6</v>
      </c>
      <c r="K30" s="5">
        <v>7</v>
      </c>
      <c r="L30" s="5">
        <v>8</v>
      </c>
      <c r="M30" s="5">
        <v>8</v>
      </c>
      <c r="N30" s="5">
        <v>9</v>
      </c>
      <c r="O30" s="5">
        <v>10</v>
      </c>
    </row>
    <row r="31" spans="1:15" ht="21.95" customHeight="1" x14ac:dyDescent="0.25">
      <c r="A31" s="2" t="s">
        <v>34</v>
      </c>
      <c r="B31" s="3" t="s">
        <v>35</v>
      </c>
      <c r="C31" s="4" t="s">
        <v>17</v>
      </c>
      <c r="D31" s="5">
        <v>6</v>
      </c>
      <c r="E31" s="5">
        <v>7</v>
      </c>
      <c r="F31" s="5">
        <v>8</v>
      </c>
      <c r="G31" s="5">
        <v>6</v>
      </c>
      <c r="H31" s="5">
        <v>7</v>
      </c>
      <c r="I31" s="5">
        <v>8</v>
      </c>
      <c r="J31" s="5">
        <v>7</v>
      </c>
      <c r="K31" s="5">
        <v>8</v>
      </c>
      <c r="L31" s="5">
        <v>9</v>
      </c>
      <c r="M31" s="5">
        <v>6</v>
      </c>
      <c r="N31" s="5">
        <v>7</v>
      </c>
      <c r="O31" s="5">
        <v>8</v>
      </c>
    </row>
    <row r="32" spans="1:15" ht="21.95" customHeight="1" x14ac:dyDescent="0.25">
      <c r="A32" s="2" t="s">
        <v>36</v>
      </c>
      <c r="B32" s="3" t="s">
        <v>37</v>
      </c>
      <c r="C32" s="4" t="s">
        <v>17</v>
      </c>
      <c r="D32" s="5">
        <v>4</v>
      </c>
      <c r="E32" s="5">
        <v>5</v>
      </c>
      <c r="F32" s="5">
        <v>6</v>
      </c>
      <c r="G32" s="5">
        <v>4</v>
      </c>
      <c r="H32" s="5">
        <v>5</v>
      </c>
      <c r="I32" s="5">
        <v>7</v>
      </c>
      <c r="J32" s="5">
        <v>5</v>
      </c>
      <c r="K32" s="5">
        <v>6</v>
      </c>
      <c r="L32" s="5">
        <v>7</v>
      </c>
      <c r="M32" s="5">
        <v>5</v>
      </c>
      <c r="N32" s="5">
        <v>6</v>
      </c>
      <c r="O32" s="5">
        <v>7</v>
      </c>
    </row>
    <row r="33" spans="1:15" ht="21.95" customHeight="1" x14ac:dyDescent="0.25">
      <c r="A33" s="2" t="s">
        <v>38</v>
      </c>
      <c r="B33" s="3" t="s">
        <v>39</v>
      </c>
      <c r="C33" s="4" t="s">
        <v>17</v>
      </c>
      <c r="D33" s="5">
        <v>6</v>
      </c>
      <c r="E33" s="5">
        <v>7</v>
      </c>
      <c r="F33" s="5">
        <v>8</v>
      </c>
      <c r="G33" s="5">
        <v>5</v>
      </c>
      <c r="H33" s="5">
        <v>6</v>
      </c>
      <c r="I33" s="5">
        <v>7</v>
      </c>
      <c r="J33" s="5">
        <v>5</v>
      </c>
      <c r="K33" s="5">
        <v>6</v>
      </c>
      <c r="L33" s="5">
        <v>8</v>
      </c>
      <c r="M33" s="5">
        <v>6</v>
      </c>
      <c r="N33" s="5">
        <v>7</v>
      </c>
      <c r="O33" s="5">
        <v>8</v>
      </c>
    </row>
    <row r="34" spans="1:15" ht="21.95" customHeight="1" x14ac:dyDescent="0.25">
      <c r="A34" s="16" t="s">
        <v>42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 spans="1:15" ht="21.95" customHeight="1" x14ac:dyDescent="0.25">
      <c r="A35" s="2" t="s">
        <v>32</v>
      </c>
      <c r="B35" s="3" t="s">
        <v>33</v>
      </c>
      <c r="C35" s="4" t="s">
        <v>17</v>
      </c>
      <c r="D35" s="5">
        <v>6</v>
      </c>
      <c r="E35" s="5">
        <v>7</v>
      </c>
      <c r="F35" s="5">
        <v>8</v>
      </c>
      <c r="G35" s="5">
        <v>6</v>
      </c>
      <c r="H35" s="5">
        <v>7</v>
      </c>
      <c r="I35" s="5">
        <v>9</v>
      </c>
      <c r="J35" s="5">
        <v>5</v>
      </c>
      <c r="K35" s="5">
        <v>6</v>
      </c>
      <c r="L35" s="5">
        <v>8</v>
      </c>
      <c r="M35" s="5">
        <v>7</v>
      </c>
      <c r="N35" s="5">
        <v>8</v>
      </c>
      <c r="O35" s="5">
        <v>9</v>
      </c>
    </row>
    <row r="36" spans="1:15" ht="21.95" customHeight="1" x14ac:dyDescent="0.25">
      <c r="A36" s="2" t="s">
        <v>34</v>
      </c>
      <c r="B36" s="3" t="s">
        <v>35</v>
      </c>
      <c r="C36" s="4" t="s">
        <v>17</v>
      </c>
      <c r="D36" s="5">
        <v>7</v>
      </c>
      <c r="E36" s="5">
        <v>8</v>
      </c>
      <c r="F36" s="5">
        <v>9</v>
      </c>
      <c r="G36" s="5">
        <v>7</v>
      </c>
      <c r="H36" s="5">
        <v>8</v>
      </c>
      <c r="I36" s="5">
        <v>9</v>
      </c>
      <c r="J36" s="5">
        <v>6</v>
      </c>
      <c r="K36" s="5">
        <v>7</v>
      </c>
      <c r="L36" s="5">
        <v>8</v>
      </c>
      <c r="M36" s="5">
        <v>6</v>
      </c>
      <c r="N36" s="5">
        <v>7</v>
      </c>
      <c r="O36" s="5">
        <v>9</v>
      </c>
    </row>
    <row r="37" spans="1:15" ht="21.95" customHeight="1" x14ac:dyDescent="0.25">
      <c r="A37" s="2" t="s">
        <v>36</v>
      </c>
      <c r="B37" s="3" t="s">
        <v>37</v>
      </c>
      <c r="C37" s="4" t="s">
        <v>17</v>
      </c>
      <c r="D37" s="5">
        <v>6</v>
      </c>
      <c r="E37" s="5">
        <v>7</v>
      </c>
      <c r="F37" s="5">
        <v>8</v>
      </c>
      <c r="G37" s="5">
        <v>7</v>
      </c>
      <c r="H37" s="5">
        <v>8</v>
      </c>
      <c r="I37" s="5">
        <v>9</v>
      </c>
      <c r="J37" s="5">
        <v>6</v>
      </c>
      <c r="K37" s="5">
        <v>7</v>
      </c>
      <c r="L37" s="5">
        <v>8</v>
      </c>
      <c r="M37" s="5">
        <v>6</v>
      </c>
      <c r="N37" s="5">
        <v>7</v>
      </c>
      <c r="O37" s="5">
        <v>8</v>
      </c>
    </row>
    <row r="38" spans="1:15" ht="21.95" customHeight="1" x14ac:dyDescent="0.25">
      <c r="A38" s="2" t="s">
        <v>38</v>
      </c>
      <c r="B38" s="3" t="s">
        <v>39</v>
      </c>
      <c r="C38" s="4" t="s">
        <v>17</v>
      </c>
      <c r="D38" s="5">
        <v>5</v>
      </c>
      <c r="E38" s="5">
        <v>6</v>
      </c>
      <c r="F38" s="5">
        <v>7</v>
      </c>
      <c r="G38" s="5">
        <v>5</v>
      </c>
      <c r="H38" s="5">
        <v>6</v>
      </c>
      <c r="I38" s="5">
        <v>8</v>
      </c>
      <c r="J38" s="5">
        <v>6</v>
      </c>
      <c r="K38" s="5">
        <v>7</v>
      </c>
      <c r="L38" s="5">
        <v>8</v>
      </c>
      <c r="M38" s="5">
        <v>5</v>
      </c>
      <c r="N38" s="5">
        <v>6</v>
      </c>
      <c r="O38" s="5">
        <v>7</v>
      </c>
    </row>
    <row r="39" spans="1:15" ht="21.95" customHeight="1" x14ac:dyDescent="0.25">
      <c r="A39" s="16" t="s">
        <v>43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</row>
    <row r="40" spans="1:15" ht="21.95" customHeight="1" x14ac:dyDescent="0.25">
      <c r="A40" s="2" t="s">
        <v>32</v>
      </c>
      <c r="B40" s="3" t="s">
        <v>33</v>
      </c>
      <c r="C40" s="4" t="s">
        <v>17</v>
      </c>
      <c r="D40" s="5">
        <v>6</v>
      </c>
      <c r="E40" s="5">
        <v>7</v>
      </c>
      <c r="F40" s="5">
        <v>8</v>
      </c>
      <c r="G40" s="5">
        <v>5</v>
      </c>
      <c r="H40" s="5">
        <v>7</v>
      </c>
      <c r="I40" s="5">
        <v>8</v>
      </c>
      <c r="J40" s="5">
        <v>6</v>
      </c>
      <c r="K40" s="5">
        <v>7</v>
      </c>
      <c r="L40" s="5">
        <v>9</v>
      </c>
      <c r="M40" s="5">
        <v>7</v>
      </c>
      <c r="N40" s="5">
        <v>8</v>
      </c>
      <c r="O40" s="5">
        <v>9</v>
      </c>
    </row>
    <row r="41" spans="1:15" ht="21.95" customHeight="1" x14ac:dyDescent="0.25">
      <c r="A41" s="2" t="s">
        <v>34</v>
      </c>
      <c r="B41" s="3" t="s">
        <v>35</v>
      </c>
      <c r="C41" s="4" t="s">
        <v>17</v>
      </c>
      <c r="D41" s="5">
        <v>7</v>
      </c>
      <c r="E41" s="5">
        <v>8</v>
      </c>
      <c r="F41" s="5">
        <v>9</v>
      </c>
      <c r="G41" s="5">
        <v>7</v>
      </c>
      <c r="H41" s="5">
        <v>8</v>
      </c>
      <c r="I41" s="5">
        <v>9</v>
      </c>
      <c r="J41" s="5">
        <v>6</v>
      </c>
      <c r="K41" s="5">
        <v>7</v>
      </c>
      <c r="L41" s="5">
        <v>8</v>
      </c>
      <c r="M41" s="5">
        <v>6</v>
      </c>
      <c r="N41" s="5">
        <v>7</v>
      </c>
      <c r="O41" s="5">
        <v>8</v>
      </c>
    </row>
    <row r="42" spans="1:15" ht="21.95" customHeight="1" x14ac:dyDescent="0.25">
      <c r="A42" s="2" t="s">
        <v>36</v>
      </c>
      <c r="B42" s="3" t="s">
        <v>37</v>
      </c>
      <c r="C42" s="4" t="s">
        <v>17</v>
      </c>
      <c r="D42" s="5">
        <v>5</v>
      </c>
      <c r="E42" s="5">
        <v>6</v>
      </c>
      <c r="F42" s="5">
        <v>7</v>
      </c>
      <c r="G42" s="5">
        <v>5</v>
      </c>
      <c r="H42" s="5">
        <v>6</v>
      </c>
      <c r="I42" s="5">
        <v>8</v>
      </c>
      <c r="J42" s="5">
        <v>5</v>
      </c>
      <c r="K42" s="5">
        <v>6</v>
      </c>
      <c r="L42" s="5">
        <v>7</v>
      </c>
      <c r="M42" s="5">
        <v>5</v>
      </c>
      <c r="N42" s="5">
        <v>6</v>
      </c>
      <c r="O42" s="5">
        <v>7</v>
      </c>
    </row>
    <row r="43" spans="1:15" ht="21.95" customHeight="1" x14ac:dyDescent="0.25">
      <c r="A43" s="2" t="s">
        <v>38</v>
      </c>
      <c r="B43" s="3" t="s">
        <v>39</v>
      </c>
      <c r="C43" s="4" t="s">
        <v>17</v>
      </c>
      <c r="D43" s="5">
        <v>3</v>
      </c>
      <c r="E43" s="5">
        <v>4</v>
      </c>
      <c r="F43" s="5">
        <v>5</v>
      </c>
      <c r="G43" s="5">
        <v>3</v>
      </c>
      <c r="H43" s="5">
        <v>4</v>
      </c>
      <c r="I43" s="5">
        <v>6</v>
      </c>
      <c r="J43" s="5">
        <v>2</v>
      </c>
      <c r="K43" s="5">
        <v>3</v>
      </c>
      <c r="L43" s="5">
        <v>5</v>
      </c>
      <c r="M43" s="5">
        <v>3</v>
      </c>
      <c r="N43" s="5">
        <v>4</v>
      </c>
      <c r="O43" s="5">
        <v>5</v>
      </c>
    </row>
    <row r="44" spans="1:15" ht="21.95" customHeight="1" x14ac:dyDescent="0.25">
      <c r="A44" s="16" t="s">
        <v>44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 spans="1:15" ht="21.95" customHeight="1" x14ac:dyDescent="0.25">
      <c r="A45" s="2" t="s">
        <v>32</v>
      </c>
      <c r="B45" s="3" t="s">
        <v>33</v>
      </c>
      <c r="C45" s="4" t="s">
        <v>20</v>
      </c>
      <c r="D45" s="5">
        <v>2</v>
      </c>
      <c r="E45" s="5">
        <v>3</v>
      </c>
      <c r="F45" s="5">
        <v>4</v>
      </c>
      <c r="G45" s="5">
        <v>2</v>
      </c>
      <c r="H45" s="5">
        <v>3</v>
      </c>
      <c r="I45" s="5">
        <v>5</v>
      </c>
      <c r="J45" s="5">
        <v>3</v>
      </c>
      <c r="K45" s="5">
        <v>4</v>
      </c>
      <c r="L45" s="5">
        <v>5</v>
      </c>
      <c r="M45" s="5">
        <v>1</v>
      </c>
      <c r="N45" s="5">
        <v>2</v>
      </c>
      <c r="O45" s="5">
        <v>3</v>
      </c>
    </row>
    <row r="46" spans="1:15" ht="21.95" customHeight="1" x14ac:dyDescent="0.25">
      <c r="A46" s="2" t="s">
        <v>34</v>
      </c>
      <c r="B46" s="3" t="s">
        <v>35</v>
      </c>
      <c r="C46" s="4" t="s">
        <v>20</v>
      </c>
      <c r="D46" s="5">
        <v>5</v>
      </c>
      <c r="E46" s="5">
        <v>6</v>
      </c>
      <c r="F46" s="5">
        <v>7</v>
      </c>
      <c r="G46" s="5">
        <v>6</v>
      </c>
      <c r="H46" s="5">
        <v>7</v>
      </c>
      <c r="I46" s="5">
        <v>8</v>
      </c>
      <c r="J46" s="5">
        <v>5</v>
      </c>
      <c r="K46" s="5">
        <v>6</v>
      </c>
      <c r="L46" s="5">
        <v>8</v>
      </c>
      <c r="M46" s="5">
        <v>5</v>
      </c>
      <c r="N46" s="5">
        <v>6</v>
      </c>
      <c r="O46" s="5">
        <v>7</v>
      </c>
    </row>
    <row r="47" spans="1:15" ht="21.95" customHeight="1" x14ac:dyDescent="0.25">
      <c r="A47" s="2" t="s">
        <v>36</v>
      </c>
      <c r="B47" s="3" t="s">
        <v>37</v>
      </c>
      <c r="C47" s="4" t="s">
        <v>20</v>
      </c>
      <c r="D47" s="5">
        <v>2</v>
      </c>
      <c r="E47" s="5">
        <v>3</v>
      </c>
      <c r="F47" s="5">
        <v>4</v>
      </c>
      <c r="G47" s="5">
        <v>3</v>
      </c>
      <c r="H47" s="5">
        <v>4</v>
      </c>
      <c r="I47" s="5">
        <v>5</v>
      </c>
      <c r="J47" s="5">
        <v>2</v>
      </c>
      <c r="K47" s="5">
        <v>3</v>
      </c>
      <c r="L47" s="5">
        <v>5</v>
      </c>
      <c r="M47" s="5">
        <v>2</v>
      </c>
      <c r="N47" s="5">
        <v>3</v>
      </c>
      <c r="O47" s="5">
        <v>4</v>
      </c>
    </row>
    <row r="48" spans="1:15" ht="21.95" customHeight="1" x14ac:dyDescent="0.25">
      <c r="A48" s="2" t="s">
        <v>38</v>
      </c>
      <c r="B48" s="3" t="s">
        <v>39</v>
      </c>
      <c r="C48" s="4" t="s">
        <v>20</v>
      </c>
      <c r="D48" s="5">
        <v>6</v>
      </c>
      <c r="E48" s="5">
        <v>7</v>
      </c>
      <c r="F48" s="5">
        <v>8</v>
      </c>
      <c r="G48" s="5">
        <v>7</v>
      </c>
      <c r="H48" s="5">
        <v>8</v>
      </c>
      <c r="I48" s="5">
        <v>9</v>
      </c>
      <c r="J48" s="5">
        <v>6</v>
      </c>
      <c r="K48" s="5">
        <v>7</v>
      </c>
      <c r="L48" s="5">
        <v>9</v>
      </c>
      <c r="M48" s="5">
        <v>7</v>
      </c>
      <c r="N48" s="5">
        <v>8</v>
      </c>
      <c r="O48" s="5">
        <v>9</v>
      </c>
    </row>
    <row r="49" ht="21.95" customHeight="1" x14ac:dyDescent="0.25"/>
  </sheetData>
  <mergeCells count="24">
    <mergeCell ref="A44:O44"/>
    <mergeCell ref="A19:O19"/>
    <mergeCell ref="A24:O24"/>
    <mergeCell ref="A29:O29"/>
    <mergeCell ref="A34:O34"/>
    <mergeCell ref="A39:O39"/>
    <mergeCell ref="D17:F17"/>
    <mergeCell ref="G17:I17"/>
    <mergeCell ref="J17:L17"/>
    <mergeCell ref="M17:O17"/>
    <mergeCell ref="A17:A18"/>
    <mergeCell ref="B17:B18"/>
    <mergeCell ref="C17:C18"/>
    <mergeCell ref="A1:O1"/>
    <mergeCell ref="A2:O2"/>
    <mergeCell ref="A3:O3"/>
    <mergeCell ref="A4:O4"/>
    <mergeCell ref="D7:F7"/>
    <mergeCell ref="G7:I7"/>
    <mergeCell ref="J7:L7"/>
    <mergeCell ref="M7:O7"/>
    <mergeCell ref="A7:A8"/>
    <mergeCell ref="B7:B8"/>
    <mergeCell ref="C7:C8"/>
  </mergeCells>
  <conditionalFormatting sqref="D9:F14">
    <cfRule type="expression" dxfId="28" priority="1">
      <formula>OR($D9&gt;$E9,$E9&gt;$F9)</formula>
    </cfRule>
  </conditionalFormatting>
  <conditionalFormatting sqref="D20:F23">
    <cfRule type="expression" dxfId="27" priority="5">
      <formula>OR($D20&gt;$E20,$E20&gt;$F20)</formula>
    </cfRule>
  </conditionalFormatting>
  <conditionalFormatting sqref="D25:F28">
    <cfRule type="expression" dxfId="26" priority="9">
      <formula>OR($D25&gt;$E25,$E25&gt;$F25)</formula>
    </cfRule>
  </conditionalFormatting>
  <conditionalFormatting sqref="D30:F33">
    <cfRule type="expression" dxfId="25" priority="13">
      <formula>OR($D30&gt;$E30,$E30&gt;$F30)</formula>
    </cfRule>
  </conditionalFormatting>
  <conditionalFormatting sqref="D35:F38">
    <cfRule type="expression" dxfId="24" priority="17">
      <formula>OR($D35&gt;$E35,$E35&gt;$F35)</formula>
    </cfRule>
  </conditionalFormatting>
  <conditionalFormatting sqref="D40:F43">
    <cfRule type="expression" dxfId="23" priority="21">
      <formula>OR($D40&gt;$E40,$E40&gt;$F40)</formula>
    </cfRule>
  </conditionalFormatting>
  <conditionalFormatting sqref="D45:F48">
    <cfRule type="expression" dxfId="22" priority="25">
      <formula>OR($D45&gt;$E45,$E45&gt;$F45)</formula>
    </cfRule>
  </conditionalFormatting>
  <conditionalFormatting sqref="G9:I14">
    <cfRule type="expression" dxfId="21" priority="2">
      <formula>OR($G9&gt;$H9,$H9&gt;$I9)</formula>
    </cfRule>
  </conditionalFormatting>
  <conditionalFormatting sqref="G20:I23">
    <cfRule type="expression" dxfId="20" priority="6">
      <formula>OR($G20&gt;$H20,$H20&gt;$I20)</formula>
    </cfRule>
  </conditionalFormatting>
  <conditionalFormatting sqref="G25:I28">
    <cfRule type="expression" dxfId="19" priority="10">
      <formula>OR($G25&gt;$H25,$H25&gt;$I25)</formula>
    </cfRule>
  </conditionalFormatting>
  <conditionalFormatting sqref="G30:I33">
    <cfRule type="expression" dxfId="18" priority="14">
      <formula>OR($G30&gt;$H30,$H30&gt;$I30)</formula>
    </cfRule>
  </conditionalFormatting>
  <conditionalFormatting sqref="G35:I38">
    <cfRule type="expression" dxfId="17" priority="18">
      <formula>OR($G35&gt;$H35,$H35&gt;$I35)</formula>
    </cfRule>
  </conditionalFormatting>
  <conditionalFormatting sqref="G40:I43">
    <cfRule type="expression" dxfId="16" priority="22">
      <formula>OR($G40&gt;$H40,$H40&gt;$I40)</formula>
    </cfRule>
  </conditionalFormatting>
  <conditionalFormatting sqref="G45:I48">
    <cfRule type="expression" dxfId="15" priority="26">
      <formula>OR($G45&gt;$H45,$H45&gt;$I45)</formula>
    </cfRule>
  </conditionalFormatting>
  <conditionalFormatting sqref="J9:L14">
    <cfRule type="expression" dxfId="14" priority="3">
      <formula>OR($J9&gt;$K9,$K9&gt;$L9)</formula>
    </cfRule>
  </conditionalFormatting>
  <conditionalFormatting sqref="J20:L23">
    <cfRule type="expression" dxfId="13" priority="7">
      <formula>OR($J20&gt;$K20,$K20&gt;$L20)</formula>
    </cfRule>
  </conditionalFormatting>
  <conditionalFormatting sqref="J25:L28">
    <cfRule type="expression" dxfId="12" priority="11">
      <formula>OR($J25&gt;$K25,$K25&gt;$L25)</formula>
    </cfRule>
  </conditionalFormatting>
  <conditionalFormatting sqref="J30:L33">
    <cfRule type="expression" dxfId="11" priority="15">
      <formula>OR($J30&gt;$K30,$K30&gt;$L30)</formula>
    </cfRule>
  </conditionalFormatting>
  <conditionalFormatting sqref="J35:L38">
    <cfRule type="expression" dxfId="10" priority="19">
      <formula>OR($J35&gt;$K35,$K35&gt;$L35)</formula>
    </cfRule>
  </conditionalFormatting>
  <conditionalFormatting sqref="J40:L43">
    <cfRule type="expression" dxfId="9" priority="23">
      <formula>OR($J40&gt;$K40,$K40&gt;$L40)</formula>
    </cfRule>
  </conditionalFormatting>
  <conditionalFormatting sqref="J45:L48">
    <cfRule type="expression" dxfId="8" priority="27">
      <formula>OR($J45&gt;$K45,$K45&gt;$L45)</formula>
    </cfRule>
  </conditionalFormatting>
  <conditionalFormatting sqref="M9:O14">
    <cfRule type="expression" dxfId="7" priority="4">
      <formula>OR($M9&gt;$N9,$N9&gt;$O9)</formula>
    </cfRule>
  </conditionalFormatting>
  <conditionalFormatting sqref="M20:O23">
    <cfRule type="expression" dxfId="6" priority="8">
      <formula>OR($M20&gt;$N20,$N20&gt;$O20)</formula>
    </cfRule>
  </conditionalFormatting>
  <conditionalFormatting sqref="M25:O28">
    <cfRule type="expression" dxfId="5" priority="12">
      <formula>OR($M25&gt;$N25,$N25&gt;$O25)</formula>
    </cfRule>
  </conditionalFormatting>
  <conditionalFormatting sqref="M30:O33">
    <cfRule type="expression" dxfId="4" priority="16">
      <formula>OR($M30&gt;$N30,$N30&gt;$O30)</formula>
    </cfRule>
  </conditionalFormatting>
  <conditionalFormatting sqref="M35:O38">
    <cfRule type="expression" dxfId="3" priority="20">
      <formula>OR($M35&gt;$N35,$N35&gt;$O35)</formula>
    </cfRule>
  </conditionalFormatting>
  <conditionalFormatting sqref="M40:O43">
    <cfRule type="expression" dxfId="2" priority="24">
      <formula>OR($M40&gt;$N40,$N40&gt;$O40)</formula>
    </cfRule>
  </conditionalFormatting>
  <conditionalFormatting sqref="M45:O48">
    <cfRule type="expression" dxfId="1" priority="28">
      <formula>OR($M45&gt;$N45,$N45&gt;$O45)</formula>
    </cfRule>
  </conditionalFormatting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58"/>
  <sheetViews>
    <sheetView workbookViewId="0"/>
  </sheetViews>
  <sheetFormatPr defaultRowHeight="15" x14ac:dyDescent="0.25"/>
  <cols>
    <col min="1" max="1" width="8" customWidth="1"/>
    <col min="2" max="2" width="54" customWidth="1"/>
    <col min="4" max="14" width="10" customWidth="1"/>
  </cols>
  <sheetData>
    <row r="1" spans="1:14" ht="26.1" customHeight="1" x14ac:dyDescent="0.25">
      <c r="A1" s="17" t="s">
        <v>45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21.95" customHeight="1" x14ac:dyDescent="0.25">
      <c r="A2" s="18" t="s">
        <v>46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 ht="21.95" customHeight="1" x14ac:dyDescent="0.25">
      <c r="A3" s="18" t="s">
        <v>47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ht="21.95" customHeight="1" x14ac:dyDescent="0.25">
      <c r="A4" s="18" t="s">
        <v>48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1.95" customHeight="1" x14ac:dyDescent="0.25">
      <c r="A5" s="18" t="s">
        <v>49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14" ht="21.95" customHeight="1" x14ac:dyDescent="0.25"/>
    <row r="7" spans="1:14" ht="21.95" customHeight="1" x14ac:dyDescent="0.25">
      <c r="A7" s="1" t="s">
        <v>50</v>
      </c>
    </row>
    <row r="8" spans="1:14" ht="21.95" customHeight="1" x14ac:dyDescent="0.25">
      <c r="A8" s="15" t="s">
        <v>5</v>
      </c>
      <c r="B8" s="15" t="s">
        <v>6</v>
      </c>
      <c r="C8" s="15" t="s">
        <v>7</v>
      </c>
      <c r="D8" s="15" t="s">
        <v>51</v>
      </c>
      <c r="E8" s="15"/>
      <c r="F8" s="15"/>
      <c r="G8" s="15" t="s">
        <v>52</v>
      </c>
      <c r="H8" s="15"/>
      <c r="I8" s="15"/>
    </row>
    <row r="9" spans="1:14" ht="21.95" customHeight="1" x14ac:dyDescent="0.25">
      <c r="A9" s="15"/>
      <c r="B9" s="15"/>
      <c r="C9" s="15"/>
      <c r="D9" s="2" t="s">
        <v>53</v>
      </c>
      <c r="E9" s="2" t="s">
        <v>54</v>
      </c>
      <c r="F9" s="2" t="s">
        <v>55</v>
      </c>
      <c r="G9" s="2" t="s">
        <v>56</v>
      </c>
      <c r="H9" s="2" t="s">
        <v>57</v>
      </c>
      <c r="I9" s="2" t="s">
        <v>58</v>
      </c>
    </row>
    <row r="10" spans="1:14" ht="21.95" customHeight="1" x14ac:dyDescent="0.25">
      <c r="A10" s="2" t="s">
        <v>15</v>
      </c>
      <c r="B10" s="3" t="s">
        <v>16</v>
      </c>
      <c r="C10" s="4" t="s">
        <v>17</v>
      </c>
      <c r="D10" s="6">
        <f>MIN(Оценки!D9,Оценки!G9,Оценки!J9,Оценки!M9)</f>
        <v>6</v>
      </c>
      <c r="E10" s="7">
        <f>AVERAGE(Оценки!E9,Оценки!H9,Оценки!K9,Оценки!N9)</f>
        <v>7.75</v>
      </c>
      <c r="F10" s="6">
        <f>MAX(Оценки!F9,Оценки!I9,Оценки!L9,Оценки!O9)</f>
        <v>10</v>
      </c>
      <c r="G10" s="8">
        <f t="shared" ref="G10:I15" si="0">D10/10</f>
        <v>0.6</v>
      </c>
      <c r="H10" s="8">
        <f t="shared" si="0"/>
        <v>0.77500000000000002</v>
      </c>
      <c r="I10" s="8">
        <f t="shared" si="0"/>
        <v>1</v>
      </c>
    </row>
    <row r="11" spans="1:14" ht="21.95" customHeight="1" x14ac:dyDescent="0.25">
      <c r="A11" s="2" t="s">
        <v>18</v>
      </c>
      <c r="B11" s="3" t="s">
        <v>19</v>
      </c>
      <c r="C11" s="4" t="s">
        <v>20</v>
      </c>
      <c r="D11" s="6">
        <f>MIN(Оценки!D10,Оценки!G10,Оценки!J10,Оценки!M10)</f>
        <v>5</v>
      </c>
      <c r="E11" s="7">
        <f>AVERAGE(Оценки!E10,Оценки!H10,Оценки!K10,Оценки!N10)</f>
        <v>7</v>
      </c>
      <c r="F11" s="6">
        <f>MAX(Оценки!F10,Оценки!I10,Оценки!L10,Оценки!O10)</f>
        <v>9</v>
      </c>
      <c r="G11" s="8">
        <f t="shared" si="0"/>
        <v>0.5</v>
      </c>
      <c r="H11" s="8">
        <f t="shared" si="0"/>
        <v>0.7</v>
      </c>
      <c r="I11" s="8">
        <f t="shared" si="0"/>
        <v>0.9</v>
      </c>
    </row>
    <row r="12" spans="1:14" ht="21.95" customHeight="1" x14ac:dyDescent="0.25">
      <c r="A12" s="2" t="s">
        <v>21</v>
      </c>
      <c r="B12" s="3" t="s">
        <v>22</v>
      </c>
      <c r="C12" s="4" t="s">
        <v>17</v>
      </c>
      <c r="D12" s="6">
        <f>MIN(Оценки!D11,Оценки!G11,Оценки!J11,Оценки!M11)</f>
        <v>4</v>
      </c>
      <c r="E12" s="7">
        <f>AVERAGE(Оценки!E11,Оценки!H11,Оценки!K11,Оценки!N11)</f>
        <v>6.5</v>
      </c>
      <c r="F12" s="6">
        <f>MAX(Оценки!F11,Оценки!I11,Оценки!L11,Оценки!O11)</f>
        <v>9</v>
      </c>
      <c r="G12" s="8">
        <f t="shared" si="0"/>
        <v>0.4</v>
      </c>
      <c r="H12" s="8">
        <f t="shared" si="0"/>
        <v>0.65</v>
      </c>
      <c r="I12" s="8">
        <f t="shared" si="0"/>
        <v>0.9</v>
      </c>
    </row>
    <row r="13" spans="1:14" ht="21.95" customHeight="1" x14ac:dyDescent="0.25">
      <c r="A13" s="2" t="s">
        <v>23</v>
      </c>
      <c r="B13" s="3" t="s">
        <v>24</v>
      </c>
      <c r="C13" s="4" t="s">
        <v>17</v>
      </c>
      <c r="D13" s="6">
        <f>MIN(Оценки!D12,Оценки!G12,Оценки!J12,Оценки!M12)</f>
        <v>3</v>
      </c>
      <c r="E13" s="7">
        <f>AVERAGE(Оценки!E12,Оценки!H12,Оценки!K12,Оценки!N12)</f>
        <v>5.25</v>
      </c>
      <c r="F13" s="6">
        <f>MAX(Оценки!F12,Оценки!I12,Оценки!L12,Оценки!O12)</f>
        <v>7</v>
      </c>
      <c r="G13" s="8">
        <f t="shared" si="0"/>
        <v>0.3</v>
      </c>
      <c r="H13" s="8">
        <f t="shared" si="0"/>
        <v>0.52500000000000002</v>
      </c>
      <c r="I13" s="8">
        <f t="shared" si="0"/>
        <v>0.7</v>
      </c>
    </row>
    <row r="14" spans="1:14" ht="21.95" customHeight="1" x14ac:dyDescent="0.25">
      <c r="A14" s="2" t="s">
        <v>25</v>
      </c>
      <c r="B14" s="3" t="s">
        <v>26</v>
      </c>
      <c r="C14" s="4" t="s">
        <v>17</v>
      </c>
      <c r="D14" s="6">
        <f>MIN(Оценки!D13,Оценки!G13,Оценки!J13,Оценки!M13)</f>
        <v>5</v>
      </c>
      <c r="E14" s="7">
        <f>AVERAGE(Оценки!E13,Оценки!H13,Оценки!K13,Оценки!N13)</f>
        <v>7</v>
      </c>
      <c r="F14" s="6">
        <f>MAX(Оценки!F13,Оценки!I13,Оценки!L13,Оценки!O13)</f>
        <v>9</v>
      </c>
      <c r="G14" s="8">
        <f t="shared" si="0"/>
        <v>0.5</v>
      </c>
      <c r="H14" s="8">
        <f t="shared" si="0"/>
        <v>0.7</v>
      </c>
      <c r="I14" s="8">
        <f t="shared" si="0"/>
        <v>0.9</v>
      </c>
    </row>
    <row r="15" spans="1:14" ht="21.95" customHeight="1" x14ac:dyDescent="0.25">
      <c r="A15" s="2" t="s">
        <v>27</v>
      </c>
      <c r="B15" s="3" t="s">
        <v>28</v>
      </c>
      <c r="C15" s="4" t="s">
        <v>20</v>
      </c>
      <c r="D15" s="6">
        <f>MIN(Оценки!D14,Оценки!G14,Оценки!J14,Оценки!M14)</f>
        <v>4</v>
      </c>
      <c r="E15" s="7">
        <f>AVERAGE(Оценки!E14,Оценки!H14,Оценки!K14,Оценки!N14)</f>
        <v>6.5</v>
      </c>
      <c r="F15" s="6">
        <f>MAX(Оценки!F14,Оценки!I14,Оценки!L14,Оценки!O14)</f>
        <v>9</v>
      </c>
      <c r="G15" s="8">
        <f t="shared" si="0"/>
        <v>0.4</v>
      </c>
      <c r="H15" s="8">
        <f t="shared" si="0"/>
        <v>0.65</v>
      </c>
      <c r="I15" s="8">
        <f t="shared" si="0"/>
        <v>0.9</v>
      </c>
    </row>
    <row r="16" spans="1:14" ht="21.95" customHeight="1" x14ac:dyDescent="0.25"/>
    <row r="17" spans="1:14" ht="21.95" customHeight="1" x14ac:dyDescent="0.25">
      <c r="A17" s="1" t="s">
        <v>59</v>
      </c>
    </row>
    <row r="18" spans="1:14" ht="21.95" customHeight="1" x14ac:dyDescent="0.25">
      <c r="A18" s="15" t="s">
        <v>5</v>
      </c>
      <c r="B18" s="15" t="s">
        <v>30</v>
      </c>
      <c r="C18" s="15" t="s">
        <v>7</v>
      </c>
      <c r="D18" s="15" t="s">
        <v>51</v>
      </c>
      <c r="E18" s="15"/>
      <c r="F18" s="15"/>
      <c r="G18" s="15" t="s">
        <v>60</v>
      </c>
      <c r="H18" s="15"/>
      <c r="I18" s="15"/>
      <c r="J18" s="15" t="s">
        <v>61</v>
      </c>
      <c r="K18" s="15"/>
      <c r="L18" s="15"/>
      <c r="M18" s="15" t="s">
        <v>62</v>
      </c>
      <c r="N18" s="15" t="s">
        <v>63</v>
      </c>
    </row>
    <row r="19" spans="1:14" ht="21.95" customHeight="1" x14ac:dyDescent="0.25">
      <c r="A19" s="15"/>
      <c r="B19" s="15"/>
      <c r="C19" s="15"/>
      <c r="D19" s="2" t="s">
        <v>53</v>
      </c>
      <c r="E19" s="2" t="s">
        <v>54</v>
      </c>
      <c r="F19" s="2" t="s">
        <v>55</v>
      </c>
      <c r="G19" s="2" t="s">
        <v>53</v>
      </c>
      <c r="H19" s="2" t="s">
        <v>54</v>
      </c>
      <c r="I19" s="2" t="s">
        <v>55</v>
      </c>
      <c r="J19" s="2" t="s">
        <v>53</v>
      </c>
      <c r="K19" s="2" t="s">
        <v>54</v>
      </c>
      <c r="L19" s="2" t="s">
        <v>55</v>
      </c>
      <c r="M19" s="15"/>
      <c r="N19" s="15"/>
    </row>
    <row r="20" spans="1:14" ht="21.95" customHeight="1" x14ac:dyDescent="0.25">
      <c r="A20" s="16" t="s">
        <v>31</v>
      </c>
      <c r="B20" s="16"/>
      <c r="C20" s="16"/>
      <c r="D20" s="16"/>
      <c r="E20" s="16"/>
      <c r="F20" s="16"/>
      <c r="G20" s="2" t="s">
        <v>64</v>
      </c>
      <c r="H20" s="9">
        <f>MAX(F21:F24)</f>
        <v>10</v>
      </c>
      <c r="I20" s="10" t="s">
        <v>65</v>
      </c>
      <c r="J20" s="10" t="s">
        <v>65</v>
      </c>
      <c r="K20" s="10" t="s">
        <v>65</v>
      </c>
      <c r="L20" s="10" t="s">
        <v>65</v>
      </c>
      <c r="M20" s="10" t="s">
        <v>65</v>
      </c>
      <c r="N20" s="10" t="s">
        <v>65</v>
      </c>
    </row>
    <row r="21" spans="1:14" ht="21.95" customHeight="1" x14ac:dyDescent="0.25">
      <c r="A21" s="2" t="s">
        <v>32</v>
      </c>
      <c r="B21" s="3" t="s">
        <v>33</v>
      </c>
      <c r="C21" s="4" t="s">
        <v>17</v>
      </c>
      <c r="D21" s="6">
        <f>MIN(Оценки!D20,Оценки!G20,Оценки!J20,Оценки!M20)</f>
        <v>6</v>
      </c>
      <c r="E21" s="7">
        <f>AVERAGE(Оценки!E20,Оценки!H20,Оценки!K20,Оценки!N20)</f>
        <v>8</v>
      </c>
      <c r="F21" s="6">
        <f>MAX(Оценки!F20,Оценки!I20,Оценки!L20,Оценки!O20)</f>
        <v>10</v>
      </c>
      <c r="G21" s="8">
        <f t="shared" ref="G21:I24" si="1">D21/$H$20</f>
        <v>0.6</v>
      </c>
      <c r="H21" s="8">
        <f t="shared" si="1"/>
        <v>0.8</v>
      </c>
      <c r="I21" s="8">
        <f t="shared" si="1"/>
        <v>1</v>
      </c>
      <c r="J21" s="8">
        <f>G21*$G$10</f>
        <v>0.36</v>
      </c>
      <c r="K21" s="8">
        <f>H21*$H$10</f>
        <v>0.62000000000000011</v>
      </c>
      <c r="L21" s="8">
        <f>I21*$I$10</f>
        <v>1</v>
      </c>
      <c r="M21" s="8">
        <f>SQRT(((1-J21)^2+(1-K21)^2+(1-L21)^2)/3)</f>
        <v>0.42972859651955519</v>
      </c>
      <c r="N21" s="8">
        <f>SQRT((J21^2+K21^2+L21^2)/3)</f>
        <v>0.71039894894817146</v>
      </c>
    </row>
    <row r="22" spans="1:14" ht="21.95" customHeight="1" x14ac:dyDescent="0.25">
      <c r="A22" s="2" t="s">
        <v>34</v>
      </c>
      <c r="B22" s="3" t="s">
        <v>35</v>
      </c>
      <c r="C22" s="4" t="s">
        <v>17</v>
      </c>
      <c r="D22" s="6">
        <f>MIN(Оценки!D21,Оценки!G21,Оценки!J21,Оценки!M21)</f>
        <v>6</v>
      </c>
      <c r="E22" s="7">
        <f>AVERAGE(Оценки!E21,Оценки!H21,Оценки!K21,Оценки!N21)</f>
        <v>7.75</v>
      </c>
      <c r="F22" s="6">
        <f>MAX(Оценки!F21,Оценки!I21,Оценки!L21,Оценки!O21)</f>
        <v>9</v>
      </c>
      <c r="G22" s="8">
        <f t="shared" si="1"/>
        <v>0.6</v>
      </c>
      <c r="H22" s="8">
        <f t="shared" si="1"/>
        <v>0.77500000000000002</v>
      </c>
      <c r="I22" s="8">
        <f t="shared" si="1"/>
        <v>0.9</v>
      </c>
      <c r="J22" s="8">
        <f>G22*$G$10</f>
        <v>0.36</v>
      </c>
      <c r="K22" s="8">
        <f>H22*$H$10</f>
        <v>0.60062500000000008</v>
      </c>
      <c r="L22" s="8">
        <f>I22*$I$10</f>
        <v>0.9</v>
      </c>
      <c r="M22" s="8">
        <f>SQRT(((1-J22)^2+(1-K22)^2+(1-L22)^2)/3)</f>
        <v>0.43935573689399648</v>
      </c>
      <c r="N22" s="8">
        <f>SQRT((J22^2+K22^2+L22^2)/3)</f>
        <v>0.65836929622236595</v>
      </c>
    </row>
    <row r="23" spans="1:14" ht="21.95" customHeight="1" x14ac:dyDescent="0.25">
      <c r="A23" s="2" t="s">
        <v>36</v>
      </c>
      <c r="B23" s="3" t="s">
        <v>37</v>
      </c>
      <c r="C23" s="4" t="s">
        <v>17</v>
      </c>
      <c r="D23" s="6">
        <f>MIN(Оценки!D22,Оценки!G22,Оценки!J22,Оценки!M22)</f>
        <v>5</v>
      </c>
      <c r="E23" s="7">
        <f>AVERAGE(Оценки!E22,Оценки!H22,Оценки!K22,Оценки!N22)</f>
        <v>6.75</v>
      </c>
      <c r="F23" s="6">
        <f>MAX(Оценки!F22,Оценки!I22,Оценки!L22,Оценки!O22)</f>
        <v>8</v>
      </c>
      <c r="G23" s="8">
        <f t="shared" si="1"/>
        <v>0.5</v>
      </c>
      <c r="H23" s="8">
        <f t="shared" si="1"/>
        <v>0.67500000000000004</v>
      </c>
      <c r="I23" s="8">
        <f t="shared" si="1"/>
        <v>0.8</v>
      </c>
      <c r="J23" s="8">
        <f>G23*$G$10</f>
        <v>0.3</v>
      </c>
      <c r="K23" s="8">
        <f>H23*$H$10</f>
        <v>0.52312500000000006</v>
      </c>
      <c r="L23" s="8">
        <f>I23*$I$10</f>
        <v>0.8</v>
      </c>
      <c r="M23" s="8">
        <f>SQRT(((1-J23)^2+(1-K23)^2+(1-L23)^2)/3)</f>
        <v>0.50246385131171367</v>
      </c>
      <c r="N23" s="8">
        <f>SQRT((J23^2+K23^2+L23^2)/3)</f>
        <v>0.57840578766842698</v>
      </c>
    </row>
    <row r="24" spans="1:14" ht="21.95" customHeight="1" x14ac:dyDescent="0.25">
      <c r="A24" s="2" t="s">
        <v>38</v>
      </c>
      <c r="B24" s="3" t="s">
        <v>39</v>
      </c>
      <c r="C24" s="4" t="s">
        <v>17</v>
      </c>
      <c r="D24" s="6">
        <f>MIN(Оценки!D23,Оценки!G23,Оценки!J23,Оценки!M23)</f>
        <v>4</v>
      </c>
      <c r="E24" s="7">
        <f>AVERAGE(Оценки!E23,Оценки!H23,Оценки!K23,Оценки!N23)</f>
        <v>6</v>
      </c>
      <c r="F24" s="6">
        <f>MAX(Оценки!F23,Оценки!I23,Оценки!L23,Оценки!O23)</f>
        <v>8</v>
      </c>
      <c r="G24" s="8">
        <f t="shared" si="1"/>
        <v>0.4</v>
      </c>
      <c r="H24" s="8">
        <f t="shared" si="1"/>
        <v>0.6</v>
      </c>
      <c r="I24" s="8">
        <f t="shared" si="1"/>
        <v>0.8</v>
      </c>
      <c r="J24" s="8">
        <f>G24*$G$10</f>
        <v>0.24</v>
      </c>
      <c r="K24" s="8">
        <f>H24*$H$10</f>
        <v>0.46499999999999997</v>
      </c>
      <c r="L24" s="8">
        <f>I24*$I$10</f>
        <v>0.8</v>
      </c>
      <c r="M24" s="8">
        <f>SQRT(((1-J24)^2+(1-K24)^2+(1-L24)^2)/3)</f>
        <v>0.54888523390595967</v>
      </c>
      <c r="N24" s="8">
        <f>SQRT((J24^2+K24^2+L24^2)/3)</f>
        <v>0.55191333860791347</v>
      </c>
    </row>
    <row r="25" spans="1:14" ht="21.95" customHeight="1" x14ac:dyDescent="0.25">
      <c r="A25" s="16" t="s">
        <v>40</v>
      </c>
      <c r="B25" s="16"/>
      <c r="C25" s="16"/>
      <c r="D25" s="16"/>
      <c r="E25" s="16"/>
      <c r="F25" s="16"/>
      <c r="G25" s="2" t="s">
        <v>66</v>
      </c>
      <c r="H25" s="9">
        <f>MIN(D26:D29)</f>
        <v>4</v>
      </c>
      <c r="I25" s="10" t="s">
        <v>65</v>
      </c>
      <c r="J25" s="10" t="s">
        <v>65</v>
      </c>
      <c r="K25" s="10" t="s">
        <v>65</v>
      </c>
      <c r="L25" s="10" t="s">
        <v>65</v>
      </c>
      <c r="M25" s="10" t="s">
        <v>65</v>
      </c>
      <c r="N25" s="10" t="s">
        <v>65</v>
      </c>
    </row>
    <row r="26" spans="1:14" ht="21.95" customHeight="1" x14ac:dyDescent="0.25">
      <c r="A26" s="2" t="s">
        <v>32</v>
      </c>
      <c r="B26" s="3" t="s">
        <v>33</v>
      </c>
      <c r="C26" s="4" t="s">
        <v>20</v>
      </c>
      <c r="D26" s="6">
        <f>MIN(Оценки!D25,Оценки!G25,Оценки!J25,Оценки!M25)</f>
        <v>5</v>
      </c>
      <c r="E26" s="7">
        <f>AVERAGE(Оценки!E25,Оценки!H25,Оценки!K25,Оценки!N25)</f>
        <v>7</v>
      </c>
      <c r="F26" s="6">
        <f>MAX(Оценки!F25,Оценки!I25,Оценки!L25,Оценки!O25)</f>
        <v>9</v>
      </c>
      <c r="G26" s="8">
        <f>$H$25/F26</f>
        <v>0.44444444444444442</v>
      </c>
      <c r="H26" s="8">
        <f>$H$25/E26</f>
        <v>0.5714285714285714</v>
      </c>
      <c r="I26" s="8">
        <f>$H$25/D26</f>
        <v>0.8</v>
      </c>
      <c r="J26" s="8">
        <f>G26*$G$11</f>
        <v>0.22222222222222221</v>
      </c>
      <c r="K26" s="8">
        <f>H26*$H$11</f>
        <v>0.39999999999999997</v>
      </c>
      <c r="L26" s="8">
        <f>I26*$I$11</f>
        <v>0.72000000000000008</v>
      </c>
      <c r="M26" s="8">
        <f>SQRT(((1-J26)^2+(1-K26)^2+(1-L26)^2)/3)</f>
        <v>0.5897282627348911</v>
      </c>
      <c r="N26" s="8">
        <f>SQRT((J26^2+K26^2+L26^2)/3)</f>
        <v>0.49253856568103133</v>
      </c>
    </row>
    <row r="27" spans="1:14" ht="21.95" customHeight="1" x14ac:dyDescent="0.25">
      <c r="A27" s="2" t="s">
        <v>34</v>
      </c>
      <c r="B27" s="3" t="s">
        <v>35</v>
      </c>
      <c r="C27" s="4" t="s">
        <v>20</v>
      </c>
      <c r="D27" s="6">
        <f>MIN(Оценки!D26,Оценки!G26,Оценки!J26,Оценки!M26)</f>
        <v>4</v>
      </c>
      <c r="E27" s="7">
        <f>AVERAGE(Оценки!E26,Оценки!H26,Оценки!K26,Оценки!N26)</f>
        <v>5.25</v>
      </c>
      <c r="F27" s="6">
        <f>MAX(Оценки!F26,Оценки!I26,Оценки!L26,Оценки!O26)</f>
        <v>7</v>
      </c>
      <c r="G27" s="8">
        <f>$H$25/F27</f>
        <v>0.5714285714285714</v>
      </c>
      <c r="H27" s="8">
        <f>$H$25/E27</f>
        <v>0.76190476190476186</v>
      </c>
      <c r="I27" s="8">
        <f>$H$25/D27</f>
        <v>1</v>
      </c>
      <c r="J27" s="8">
        <f>G27*$G$11</f>
        <v>0.2857142857142857</v>
      </c>
      <c r="K27" s="8">
        <f>H27*$H$11</f>
        <v>0.53333333333333321</v>
      </c>
      <c r="L27" s="8">
        <f>I27*$I$11</f>
        <v>0.9</v>
      </c>
      <c r="M27" s="8">
        <f>SQRT(((1-J27)^2+(1-K27)^2+(1-L27)^2)/3)</f>
        <v>0.49597777484158534</v>
      </c>
      <c r="N27" s="8">
        <f>SQRT((J27^2+K27^2+L27^2)/3)</f>
        <v>0.62611955660924401</v>
      </c>
    </row>
    <row r="28" spans="1:14" ht="21.95" customHeight="1" x14ac:dyDescent="0.25">
      <c r="A28" s="2" t="s">
        <v>36</v>
      </c>
      <c r="B28" s="3" t="s">
        <v>37</v>
      </c>
      <c r="C28" s="4" t="s">
        <v>20</v>
      </c>
      <c r="D28" s="6">
        <f>MIN(Оценки!D27,Оценки!G27,Оценки!J27,Оценки!M27)</f>
        <v>4</v>
      </c>
      <c r="E28" s="7">
        <f>AVERAGE(Оценки!E27,Оценки!H27,Оценки!K27,Оценки!N27)</f>
        <v>5.5</v>
      </c>
      <c r="F28" s="6">
        <f>MAX(Оценки!F27,Оценки!I27,Оценки!L27,Оценки!O27)</f>
        <v>7</v>
      </c>
      <c r="G28" s="8">
        <f>$H$25/F28</f>
        <v>0.5714285714285714</v>
      </c>
      <c r="H28" s="8">
        <f>$H$25/E28</f>
        <v>0.72727272727272729</v>
      </c>
      <c r="I28" s="8">
        <f>$H$25/D28</f>
        <v>1</v>
      </c>
      <c r="J28" s="8">
        <f>G28*$G$11</f>
        <v>0.2857142857142857</v>
      </c>
      <c r="K28" s="8">
        <f>H28*$H$11</f>
        <v>0.50909090909090904</v>
      </c>
      <c r="L28" s="8">
        <f>I28*$I$11</f>
        <v>0.9</v>
      </c>
      <c r="M28" s="8">
        <f>SQRT(((1-J28)^2+(1-K28)^2+(1-L28)^2)/3)</f>
        <v>0.50371811467984196</v>
      </c>
      <c r="N28" s="8">
        <f>SQRT((J28^2+K28^2+L28^2)/3)</f>
        <v>0.61935617291405454</v>
      </c>
    </row>
    <row r="29" spans="1:14" ht="21.95" customHeight="1" x14ac:dyDescent="0.25">
      <c r="A29" s="2" t="s">
        <v>38</v>
      </c>
      <c r="B29" s="3" t="s">
        <v>39</v>
      </c>
      <c r="C29" s="4" t="s">
        <v>20</v>
      </c>
      <c r="D29" s="6">
        <f>MIN(Оценки!D28,Оценки!G28,Оценки!J28,Оценки!M28)</f>
        <v>4</v>
      </c>
      <c r="E29" s="7">
        <f>AVERAGE(Оценки!E28,Оценки!H28,Оценки!K28,Оценки!N28)</f>
        <v>5.75</v>
      </c>
      <c r="F29" s="6">
        <f>MAX(Оценки!F28,Оценки!I28,Оценки!L28,Оценки!O28)</f>
        <v>8</v>
      </c>
      <c r="G29" s="8">
        <f>$H$25/F29</f>
        <v>0.5</v>
      </c>
      <c r="H29" s="8">
        <f>$H$25/E29</f>
        <v>0.69565217391304346</v>
      </c>
      <c r="I29" s="8">
        <f>$H$25/D29</f>
        <v>1</v>
      </c>
      <c r="J29" s="8">
        <f>G29*$G$11</f>
        <v>0.25</v>
      </c>
      <c r="K29" s="8">
        <f>H29*$H$11</f>
        <v>0.4869565217391304</v>
      </c>
      <c r="L29" s="8">
        <f>I29*$I$11</f>
        <v>0.9</v>
      </c>
      <c r="M29" s="8">
        <f>SQRT(((1-J29)^2+(1-K29)^2+(1-L29)^2)/3)</f>
        <v>0.52779844972173851</v>
      </c>
      <c r="N29" s="8">
        <f>SQRT((J29^2+K29^2+L29^2)/3)</f>
        <v>0.60817394827035909</v>
      </c>
    </row>
    <row r="30" spans="1:14" ht="21.95" customHeight="1" x14ac:dyDescent="0.25">
      <c r="A30" s="16" t="s">
        <v>41</v>
      </c>
      <c r="B30" s="16"/>
      <c r="C30" s="16"/>
      <c r="D30" s="16"/>
      <c r="E30" s="16"/>
      <c r="F30" s="16"/>
      <c r="G30" s="2" t="s">
        <v>64</v>
      </c>
      <c r="H30" s="9">
        <f>MAX(F31:F34)</f>
        <v>10</v>
      </c>
      <c r="I30" s="10" t="s">
        <v>65</v>
      </c>
      <c r="J30" s="10" t="s">
        <v>65</v>
      </c>
      <c r="K30" s="10" t="s">
        <v>65</v>
      </c>
      <c r="L30" s="10" t="s">
        <v>65</v>
      </c>
      <c r="M30" s="10" t="s">
        <v>65</v>
      </c>
      <c r="N30" s="10" t="s">
        <v>65</v>
      </c>
    </row>
    <row r="31" spans="1:14" ht="21.95" customHeight="1" x14ac:dyDescent="0.25">
      <c r="A31" s="2" t="s">
        <v>32</v>
      </c>
      <c r="B31" s="3" t="s">
        <v>33</v>
      </c>
      <c r="C31" s="4" t="s">
        <v>17</v>
      </c>
      <c r="D31" s="6">
        <f>MIN(Оценки!D30,Оценки!G30,Оценки!J30,Оценки!M30)</f>
        <v>5</v>
      </c>
      <c r="E31" s="7">
        <f>AVERAGE(Оценки!E30,Оценки!H30,Оценки!K30,Оценки!N30)</f>
        <v>7</v>
      </c>
      <c r="F31" s="6">
        <f>MAX(Оценки!F30,Оценки!I30,Оценки!L30,Оценки!O30)</f>
        <v>10</v>
      </c>
      <c r="G31" s="8">
        <f t="shared" ref="G31:I34" si="2">D31/$H$30</f>
        <v>0.5</v>
      </c>
      <c r="H31" s="8">
        <f t="shared" si="2"/>
        <v>0.7</v>
      </c>
      <c r="I31" s="8">
        <f t="shared" si="2"/>
        <v>1</v>
      </c>
      <c r="J31" s="8">
        <f>G31*$G$12</f>
        <v>0.2</v>
      </c>
      <c r="K31" s="8">
        <f>H31*$H$12</f>
        <v>0.45499999999999996</v>
      </c>
      <c r="L31" s="8">
        <f>I31*$I$12</f>
        <v>0.9</v>
      </c>
      <c r="M31" s="8">
        <f>SQRT(((1-J31)^2+(1-K31)^2+(1-L31)^2)/3)</f>
        <v>0.5618496240098414</v>
      </c>
      <c r="N31" s="8">
        <f>SQRT((J31^2+K31^2+L31^2)/3)</f>
        <v>0.59358374865444785</v>
      </c>
    </row>
    <row r="32" spans="1:14" ht="21.95" customHeight="1" x14ac:dyDescent="0.25">
      <c r="A32" s="2" t="s">
        <v>34</v>
      </c>
      <c r="B32" s="3" t="s">
        <v>35</v>
      </c>
      <c r="C32" s="4" t="s">
        <v>17</v>
      </c>
      <c r="D32" s="6">
        <f>MIN(Оценки!D31,Оценки!G31,Оценки!J31,Оценки!M31)</f>
        <v>6</v>
      </c>
      <c r="E32" s="7">
        <f>AVERAGE(Оценки!E31,Оценки!H31,Оценки!K31,Оценки!N31)</f>
        <v>7.25</v>
      </c>
      <c r="F32" s="6">
        <f>MAX(Оценки!F31,Оценки!I31,Оценки!L31,Оценки!O31)</f>
        <v>9</v>
      </c>
      <c r="G32" s="8">
        <f t="shared" si="2"/>
        <v>0.6</v>
      </c>
      <c r="H32" s="8">
        <f t="shared" si="2"/>
        <v>0.72499999999999998</v>
      </c>
      <c r="I32" s="8">
        <f t="shared" si="2"/>
        <v>0.9</v>
      </c>
      <c r="J32" s="8">
        <f>G32*$G$12</f>
        <v>0.24</v>
      </c>
      <c r="K32" s="8">
        <f>H32*$H$12</f>
        <v>0.47125</v>
      </c>
      <c r="L32" s="8">
        <f>I32*$I$12</f>
        <v>0.81</v>
      </c>
      <c r="M32" s="8">
        <f>SQRT(((1-J32)^2+(1-K32)^2+(1-L32)^2)/3)</f>
        <v>0.54567284536310467</v>
      </c>
      <c r="N32" s="8">
        <f>SQRT((J32^2+K32^2+L32^2)/3)</f>
        <v>0.55850292822270264</v>
      </c>
    </row>
    <row r="33" spans="1:14" ht="21.95" customHeight="1" x14ac:dyDescent="0.25">
      <c r="A33" s="2" t="s">
        <v>36</v>
      </c>
      <c r="B33" s="3" t="s">
        <v>37</v>
      </c>
      <c r="C33" s="4" t="s">
        <v>17</v>
      </c>
      <c r="D33" s="6">
        <f>MIN(Оценки!D32,Оценки!G32,Оценки!J32,Оценки!M32)</f>
        <v>4</v>
      </c>
      <c r="E33" s="7">
        <f>AVERAGE(Оценки!E32,Оценки!H32,Оценки!K32,Оценки!N32)</f>
        <v>5.5</v>
      </c>
      <c r="F33" s="6">
        <f>MAX(Оценки!F32,Оценки!I32,Оценки!L32,Оценки!O32)</f>
        <v>7</v>
      </c>
      <c r="G33" s="8">
        <f t="shared" si="2"/>
        <v>0.4</v>
      </c>
      <c r="H33" s="8">
        <f t="shared" si="2"/>
        <v>0.55000000000000004</v>
      </c>
      <c r="I33" s="8">
        <f t="shared" si="2"/>
        <v>0.7</v>
      </c>
      <c r="J33" s="8">
        <f>G33*$G$12</f>
        <v>0.16000000000000003</v>
      </c>
      <c r="K33" s="8">
        <f>H33*$H$12</f>
        <v>0.35750000000000004</v>
      </c>
      <c r="L33" s="8">
        <f>I33*$I$12</f>
        <v>0.63</v>
      </c>
      <c r="M33" s="8">
        <f>SQRT(((1-J33)^2+(1-K33)^2+(1-L33)^2)/3)</f>
        <v>0.64686584132002722</v>
      </c>
      <c r="N33" s="8">
        <f>SQRT((J33^2+K33^2+L33^2)/3)</f>
        <v>0.42829361035003394</v>
      </c>
    </row>
    <row r="34" spans="1:14" ht="21.95" customHeight="1" x14ac:dyDescent="0.25">
      <c r="A34" s="2" t="s">
        <v>38</v>
      </c>
      <c r="B34" s="3" t="s">
        <v>39</v>
      </c>
      <c r="C34" s="4" t="s">
        <v>17</v>
      </c>
      <c r="D34" s="6">
        <f>MIN(Оценки!D33,Оценки!G33,Оценки!J33,Оценки!M33)</f>
        <v>5</v>
      </c>
      <c r="E34" s="7">
        <f>AVERAGE(Оценки!E33,Оценки!H33,Оценки!K33,Оценки!N33)</f>
        <v>6.5</v>
      </c>
      <c r="F34" s="6">
        <f>MAX(Оценки!F33,Оценки!I33,Оценки!L33,Оценки!O33)</f>
        <v>8</v>
      </c>
      <c r="G34" s="8">
        <f t="shared" si="2"/>
        <v>0.5</v>
      </c>
      <c r="H34" s="8">
        <f t="shared" si="2"/>
        <v>0.65</v>
      </c>
      <c r="I34" s="8">
        <f t="shared" si="2"/>
        <v>0.8</v>
      </c>
      <c r="J34" s="8">
        <f>G34*$G$12</f>
        <v>0.2</v>
      </c>
      <c r="K34" s="8">
        <f>H34*$H$12</f>
        <v>0.42250000000000004</v>
      </c>
      <c r="L34" s="8">
        <f>I34*$I$12</f>
        <v>0.72000000000000008</v>
      </c>
      <c r="M34" s="8">
        <f>SQRT(((1-J34)^2+(1-K34)^2+(1-L34)^2)/3)</f>
        <v>0.59214475989125048</v>
      </c>
      <c r="N34" s="8">
        <f>SQRT((J34^2+K34^2+L34^2)/3)</f>
        <v>0.49561619895506509</v>
      </c>
    </row>
    <row r="35" spans="1:14" ht="21.95" customHeight="1" x14ac:dyDescent="0.25">
      <c r="A35" s="16" t="s">
        <v>42</v>
      </c>
      <c r="B35" s="16"/>
      <c r="C35" s="16"/>
      <c r="D35" s="16"/>
      <c r="E35" s="16"/>
      <c r="F35" s="16"/>
      <c r="G35" s="2" t="s">
        <v>64</v>
      </c>
      <c r="H35" s="9">
        <f>MAX(F36:F39)</f>
        <v>9</v>
      </c>
      <c r="I35" s="10" t="s">
        <v>65</v>
      </c>
      <c r="J35" s="10" t="s">
        <v>65</v>
      </c>
      <c r="K35" s="10" t="s">
        <v>65</v>
      </c>
      <c r="L35" s="10" t="s">
        <v>65</v>
      </c>
      <c r="M35" s="10" t="s">
        <v>65</v>
      </c>
      <c r="N35" s="10" t="s">
        <v>65</v>
      </c>
    </row>
    <row r="36" spans="1:14" ht="21.95" customHeight="1" x14ac:dyDescent="0.25">
      <c r="A36" s="2" t="s">
        <v>32</v>
      </c>
      <c r="B36" s="3" t="s">
        <v>33</v>
      </c>
      <c r="C36" s="4" t="s">
        <v>17</v>
      </c>
      <c r="D36" s="6">
        <f>MIN(Оценки!D35,Оценки!G35,Оценки!J35,Оценки!M35)</f>
        <v>5</v>
      </c>
      <c r="E36" s="7">
        <f>AVERAGE(Оценки!E35,Оценки!H35,Оценки!K35,Оценки!N35)</f>
        <v>7</v>
      </c>
      <c r="F36" s="6">
        <f>MAX(Оценки!F35,Оценки!I35,Оценки!L35,Оценки!O35)</f>
        <v>9</v>
      </c>
      <c r="G36" s="8">
        <f t="shared" ref="G36:I39" si="3">D36/$H$35</f>
        <v>0.55555555555555558</v>
      </c>
      <c r="H36" s="8">
        <f t="shared" si="3"/>
        <v>0.77777777777777779</v>
      </c>
      <c r="I36" s="8">
        <f t="shared" si="3"/>
        <v>1</v>
      </c>
      <c r="J36" s="8">
        <f>G36*$G$13</f>
        <v>0.16666666666666666</v>
      </c>
      <c r="K36" s="8">
        <f>H36*$H$13</f>
        <v>0.40833333333333338</v>
      </c>
      <c r="L36" s="8">
        <f>I36*$I$13</f>
        <v>0.7</v>
      </c>
      <c r="M36" s="8">
        <f>SQRT(((1-J36)^2+(1-K36)^2+(1-L36)^2)/3)</f>
        <v>0.614956336902301</v>
      </c>
      <c r="N36" s="8">
        <f>SQRT((J36^2+K36^2+L36^2)/3)</f>
        <v>0.47767279208292396</v>
      </c>
    </row>
    <row r="37" spans="1:14" ht="21.95" customHeight="1" x14ac:dyDescent="0.25">
      <c r="A37" s="2" t="s">
        <v>34</v>
      </c>
      <c r="B37" s="3" t="s">
        <v>35</v>
      </c>
      <c r="C37" s="4" t="s">
        <v>17</v>
      </c>
      <c r="D37" s="6">
        <f>MIN(Оценки!D36,Оценки!G36,Оценки!J36,Оценки!M36)</f>
        <v>6</v>
      </c>
      <c r="E37" s="7">
        <f>AVERAGE(Оценки!E36,Оценки!H36,Оценки!K36,Оценки!N36)</f>
        <v>7.5</v>
      </c>
      <c r="F37" s="6">
        <f>MAX(Оценки!F36,Оценки!I36,Оценки!L36,Оценки!O36)</f>
        <v>9</v>
      </c>
      <c r="G37" s="8">
        <f t="shared" si="3"/>
        <v>0.66666666666666663</v>
      </c>
      <c r="H37" s="8">
        <f t="shared" si="3"/>
        <v>0.83333333333333337</v>
      </c>
      <c r="I37" s="8">
        <f t="shared" si="3"/>
        <v>1</v>
      </c>
      <c r="J37" s="8">
        <f>G37*$G$13</f>
        <v>0.19999999999999998</v>
      </c>
      <c r="K37" s="8">
        <f>H37*$H$13</f>
        <v>0.43750000000000006</v>
      </c>
      <c r="L37" s="8">
        <f>I37*$I$13</f>
        <v>0.7</v>
      </c>
      <c r="M37" s="8">
        <f>SQRT(((1-J37)^2+(1-K37)^2+(1-L37)^2)/3)</f>
        <v>0.59059468617092503</v>
      </c>
      <c r="N37" s="8">
        <f>SQRT((J37^2+K37^2+L37^2)/3)</f>
        <v>0.49037613114832579</v>
      </c>
    </row>
    <row r="38" spans="1:14" ht="21.95" customHeight="1" x14ac:dyDescent="0.25">
      <c r="A38" s="2" t="s">
        <v>36</v>
      </c>
      <c r="B38" s="3" t="s">
        <v>37</v>
      </c>
      <c r="C38" s="4" t="s">
        <v>17</v>
      </c>
      <c r="D38" s="6">
        <f>MIN(Оценки!D37,Оценки!G37,Оценки!J37,Оценки!M37)</f>
        <v>6</v>
      </c>
      <c r="E38" s="7">
        <f>AVERAGE(Оценки!E37,Оценки!H37,Оценки!K37,Оценки!N37)</f>
        <v>7.25</v>
      </c>
      <c r="F38" s="6">
        <f>MAX(Оценки!F37,Оценки!I37,Оценки!L37,Оценки!O37)</f>
        <v>9</v>
      </c>
      <c r="G38" s="8">
        <f t="shared" si="3"/>
        <v>0.66666666666666663</v>
      </c>
      <c r="H38" s="8">
        <f t="shared" si="3"/>
        <v>0.80555555555555558</v>
      </c>
      <c r="I38" s="8">
        <f t="shared" si="3"/>
        <v>1</v>
      </c>
      <c r="J38" s="8">
        <f>G38*$G$13</f>
        <v>0.19999999999999998</v>
      </c>
      <c r="K38" s="8">
        <f>H38*$H$13</f>
        <v>0.42291666666666672</v>
      </c>
      <c r="L38" s="8">
        <f>I38*$I$13</f>
        <v>0.7</v>
      </c>
      <c r="M38" s="8">
        <f>SQRT(((1-J38)^2+(1-K38)^2+(1-L38)^2)/3)</f>
        <v>0.59526609557158305</v>
      </c>
      <c r="N38" s="8">
        <f>SQRT((J38^2+K38^2+L38^2)/3)</f>
        <v>0.48609275759003184</v>
      </c>
    </row>
    <row r="39" spans="1:14" ht="21.95" customHeight="1" x14ac:dyDescent="0.25">
      <c r="A39" s="2" t="s">
        <v>38</v>
      </c>
      <c r="B39" s="3" t="s">
        <v>39</v>
      </c>
      <c r="C39" s="4" t="s">
        <v>17</v>
      </c>
      <c r="D39" s="6">
        <f>MIN(Оценки!D38,Оценки!G38,Оценки!J38,Оценки!M38)</f>
        <v>5</v>
      </c>
      <c r="E39" s="7">
        <f>AVERAGE(Оценки!E38,Оценки!H38,Оценки!K38,Оценки!N38)</f>
        <v>6.25</v>
      </c>
      <c r="F39" s="6">
        <f>MAX(Оценки!F38,Оценки!I38,Оценки!L38,Оценки!O38)</f>
        <v>8</v>
      </c>
      <c r="G39" s="8">
        <f t="shared" si="3"/>
        <v>0.55555555555555558</v>
      </c>
      <c r="H39" s="8">
        <f t="shared" si="3"/>
        <v>0.69444444444444442</v>
      </c>
      <c r="I39" s="8">
        <f t="shared" si="3"/>
        <v>0.88888888888888884</v>
      </c>
      <c r="J39" s="8">
        <f>G39*$G$13</f>
        <v>0.16666666666666666</v>
      </c>
      <c r="K39" s="8">
        <f>H39*$H$13</f>
        <v>0.36458333333333331</v>
      </c>
      <c r="L39" s="8">
        <f>I39*$I$13</f>
        <v>0.62222222222222212</v>
      </c>
      <c r="M39" s="8">
        <f>SQRT(((1-J39)^2+(1-K39)^2+(1-L39)^2)/3)</f>
        <v>0.64314716670057681</v>
      </c>
      <c r="N39" s="8">
        <f>SQRT((J39^2+K39^2+L39^2)/3)</f>
        <v>0.42734033219023554</v>
      </c>
    </row>
    <row r="40" spans="1:14" ht="21.95" customHeight="1" x14ac:dyDescent="0.25">
      <c r="A40" s="16" t="s">
        <v>43</v>
      </c>
      <c r="B40" s="16"/>
      <c r="C40" s="16"/>
      <c r="D40" s="16"/>
      <c r="E40" s="16"/>
      <c r="F40" s="16"/>
      <c r="G40" s="2" t="s">
        <v>64</v>
      </c>
      <c r="H40" s="9">
        <f>MAX(F41:F44)</f>
        <v>9</v>
      </c>
      <c r="I40" s="10" t="s">
        <v>65</v>
      </c>
      <c r="J40" s="10" t="s">
        <v>65</v>
      </c>
      <c r="K40" s="10" t="s">
        <v>65</v>
      </c>
      <c r="L40" s="10" t="s">
        <v>65</v>
      </c>
      <c r="M40" s="10" t="s">
        <v>65</v>
      </c>
      <c r="N40" s="10" t="s">
        <v>65</v>
      </c>
    </row>
    <row r="41" spans="1:14" ht="21.95" customHeight="1" x14ac:dyDescent="0.25">
      <c r="A41" s="2" t="s">
        <v>32</v>
      </c>
      <c r="B41" s="3" t="s">
        <v>33</v>
      </c>
      <c r="C41" s="4" t="s">
        <v>17</v>
      </c>
      <c r="D41" s="6">
        <f>MIN(Оценки!D40,Оценки!G40,Оценки!J40,Оценки!M40)</f>
        <v>5</v>
      </c>
      <c r="E41" s="7">
        <f>AVERAGE(Оценки!E40,Оценки!H40,Оценки!K40,Оценки!N40)</f>
        <v>7.25</v>
      </c>
      <c r="F41" s="6">
        <f>MAX(Оценки!F40,Оценки!I40,Оценки!L40,Оценки!O40)</f>
        <v>9</v>
      </c>
      <c r="G41" s="8">
        <f t="shared" ref="G41:I44" si="4">D41/$H$40</f>
        <v>0.55555555555555558</v>
      </c>
      <c r="H41" s="8">
        <f t="shared" si="4"/>
        <v>0.80555555555555558</v>
      </c>
      <c r="I41" s="8">
        <f t="shared" si="4"/>
        <v>1</v>
      </c>
      <c r="J41" s="8">
        <f>G41*$G$14</f>
        <v>0.27777777777777779</v>
      </c>
      <c r="K41" s="8">
        <f>H41*$H$14</f>
        <v>0.56388888888888888</v>
      </c>
      <c r="L41" s="8">
        <f>I41*$I$14</f>
        <v>0.9</v>
      </c>
      <c r="M41" s="8">
        <f>SQRT(((1-J41)^2+(1-K41)^2+(1-L41)^2)/3)</f>
        <v>0.49050920463880282</v>
      </c>
      <c r="N41" s="8">
        <f>SQRT((J41^2+K41^2+L41^2)/3)</f>
        <v>0.63380627241019161</v>
      </c>
    </row>
    <row r="42" spans="1:14" ht="21.95" customHeight="1" x14ac:dyDescent="0.25">
      <c r="A42" s="2" t="s">
        <v>34</v>
      </c>
      <c r="B42" s="3" t="s">
        <v>35</v>
      </c>
      <c r="C42" s="4" t="s">
        <v>17</v>
      </c>
      <c r="D42" s="6">
        <f>MIN(Оценки!D41,Оценки!G41,Оценки!J41,Оценки!M41)</f>
        <v>6</v>
      </c>
      <c r="E42" s="7">
        <f>AVERAGE(Оценки!E41,Оценки!H41,Оценки!K41,Оценки!N41)</f>
        <v>7.5</v>
      </c>
      <c r="F42" s="6">
        <f>MAX(Оценки!F41,Оценки!I41,Оценки!L41,Оценки!O41)</f>
        <v>9</v>
      </c>
      <c r="G42" s="8">
        <f t="shared" si="4"/>
        <v>0.66666666666666663</v>
      </c>
      <c r="H42" s="8">
        <f t="shared" si="4"/>
        <v>0.83333333333333337</v>
      </c>
      <c r="I42" s="8">
        <f t="shared" si="4"/>
        <v>1</v>
      </c>
      <c r="J42" s="8">
        <f>G42*$G$14</f>
        <v>0.33333333333333331</v>
      </c>
      <c r="K42" s="8">
        <f>H42*$H$14</f>
        <v>0.58333333333333337</v>
      </c>
      <c r="L42" s="8">
        <f>I42*$I$14</f>
        <v>0.9</v>
      </c>
      <c r="M42" s="8">
        <f>SQRT(((1-J42)^2+(1-K42)^2+(1-L42)^2)/3)</f>
        <v>0.45754983537517735</v>
      </c>
      <c r="N42" s="8">
        <f>SQRT((J42^2+K42^2+L42^2)/3)</f>
        <v>0.64843115514521898</v>
      </c>
    </row>
    <row r="43" spans="1:14" ht="21.95" customHeight="1" x14ac:dyDescent="0.25">
      <c r="A43" s="2" t="s">
        <v>36</v>
      </c>
      <c r="B43" s="3" t="s">
        <v>37</v>
      </c>
      <c r="C43" s="4" t="s">
        <v>17</v>
      </c>
      <c r="D43" s="6">
        <f>MIN(Оценки!D42,Оценки!G42,Оценки!J42,Оценки!M42)</f>
        <v>5</v>
      </c>
      <c r="E43" s="7">
        <f>AVERAGE(Оценки!E42,Оценки!H42,Оценки!K42,Оценки!N42)</f>
        <v>6</v>
      </c>
      <c r="F43" s="6">
        <f>MAX(Оценки!F42,Оценки!I42,Оценки!L42,Оценки!O42)</f>
        <v>8</v>
      </c>
      <c r="G43" s="8">
        <f t="shared" si="4"/>
        <v>0.55555555555555558</v>
      </c>
      <c r="H43" s="8">
        <f t="shared" si="4"/>
        <v>0.66666666666666663</v>
      </c>
      <c r="I43" s="8">
        <f t="shared" si="4"/>
        <v>0.88888888888888884</v>
      </c>
      <c r="J43" s="8">
        <f>G43*$G$14</f>
        <v>0.27777777777777779</v>
      </c>
      <c r="K43" s="8">
        <f>H43*$H$14</f>
        <v>0.46666666666666662</v>
      </c>
      <c r="L43" s="8">
        <f>I43*$I$14</f>
        <v>0.79999999999999993</v>
      </c>
      <c r="M43" s="8">
        <f>SQRT(((1-J43)^2+(1-K43)^2+(1-L43)^2)/3)</f>
        <v>0.53105222050693834</v>
      </c>
      <c r="N43" s="8">
        <f>SQRT((J43^2+K43^2+L43^2)/3)</f>
        <v>0.55825271207131577</v>
      </c>
    </row>
    <row r="44" spans="1:14" ht="21.95" customHeight="1" x14ac:dyDescent="0.25">
      <c r="A44" s="2" t="s">
        <v>38</v>
      </c>
      <c r="B44" s="3" t="s">
        <v>39</v>
      </c>
      <c r="C44" s="4" t="s">
        <v>17</v>
      </c>
      <c r="D44" s="6">
        <f>MIN(Оценки!D43,Оценки!G43,Оценки!J43,Оценки!M43)</f>
        <v>2</v>
      </c>
      <c r="E44" s="7">
        <f>AVERAGE(Оценки!E43,Оценки!H43,Оценки!K43,Оценки!N43)</f>
        <v>3.75</v>
      </c>
      <c r="F44" s="6">
        <f>MAX(Оценки!F43,Оценки!I43,Оценки!L43,Оценки!O43)</f>
        <v>6</v>
      </c>
      <c r="G44" s="8">
        <f t="shared" si="4"/>
        <v>0.22222222222222221</v>
      </c>
      <c r="H44" s="8">
        <f t="shared" si="4"/>
        <v>0.41666666666666669</v>
      </c>
      <c r="I44" s="8">
        <f t="shared" si="4"/>
        <v>0.66666666666666663</v>
      </c>
      <c r="J44" s="8">
        <f>G44*$G$14</f>
        <v>0.1111111111111111</v>
      </c>
      <c r="K44" s="8">
        <f>H44*$H$14</f>
        <v>0.29166666666666669</v>
      </c>
      <c r="L44" s="8">
        <f>I44*$I$14</f>
        <v>0.6</v>
      </c>
      <c r="M44" s="8">
        <f>SQRT(((1-J44)^2+(1-K44)^2+(1-L44)^2)/3)</f>
        <v>0.69566744159865035</v>
      </c>
      <c r="N44" s="8">
        <f>SQRT((J44^2+K44^2+L44^2)/3)</f>
        <v>0.39047625768915839</v>
      </c>
    </row>
    <row r="45" spans="1:14" ht="21.95" customHeight="1" x14ac:dyDescent="0.25">
      <c r="A45" s="16" t="s">
        <v>44</v>
      </c>
      <c r="B45" s="16"/>
      <c r="C45" s="16"/>
      <c r="D45" s="16"/>
      <c r="E45" s="16"/>
      <c r="F45" s="16"/>
      <c r="G45" s="2" t="s">
        <v>66</v>
      </c>
      <c r="H45" s="9">
        <f>MIN(D46:D49)</f>
        <v>1</v>
      </c>
      <c r="I45" s="10" t="s">
        <v>65</v>
      </c>
      <c r="J45" s="10" t="s">
        <v>65</v>
      </c>
      <c r="K45" s="10" t="s">
        <v>65</v>
      </c>
      <c r="L45" s="10" t="s">
        <v>65</v>
      </c>
      <c r="M45" s="10" t="s">
        <v>65</v>
      </c>
      <c r="N45" s="10" t="s">
        <v>65</v>
      </c>
    </row>
    <row r="46" spans="1:14" ht="21.95" customHeight="1" x14ac:dyDescent="0.25">
      <c r="A46" s="2" t="s">
        <v>32</v>
      </c>
      <c r="B46" s="3" t="s">
        <v>33</v>
      </c>
      <c r="C46" s="4" t="s">
        <v>20</v>
      </c>
      <c r="D46" s="6">
        <f>MIN(Оценки!D45,Оценки!G45,Оценки!J45,Оценки!M45)</f>
        <v>1</v>
      </c>
      <c r="E46" s="7">
        <f>AVERAGE(Оценки!E45,Оценки!H45,Оценки!K45,Оценки!N45)</f>
        <v>3</v>
      </c>
      <c r="F46" s="6">
        <f>MAX(Оценки!F45,Оценки!I45,Оценки!L45,Оценки!O45)</f>
        <v>5</v>
      </c>
      <c r="G46" s="8">
        <f>$H$45/F46</f>
        <v>0.2</v>
      </c>
      <c r="H46" s="8">
        <f>$H$45/E46</f>
        <v>0.33333333333333331</v>
      </c>
      <c r="I46" s="8">
        <f>$H$45/D46</f>
        <v>1</v>
      </c>
      <c r="J46" s="8">
        <f>G46*$G$15</f>
        <v>8.0000000000000016E-2</v>
      </c>
      <c r="K46" s="8">
        <f>H46*$H$15</f>
        <v>0.21666666666666667</v>
      </c>
      <c r="L46" s="8">
        <f>I46*$I$15</f>
        <v>0.9</v>
      </c>
      <c r="M46" s="8">
        <f>SQRT(((1-J46)^2+(1-K46)^2+(1-L46)^2)/3)</f>
        <v>0.70000264549764646</v>
      </c>
      <c r="N46" s="8">
        <f>SQRT((J46^2+K46^2+L46^2)/3)</f>
        <v>0.53645268335751806</v>
      </c>
    </row>
    <row r="47" spans="1:14" ht="21.95" customHeight="1" x14ac:dyDescent="0.25">
      <c r="A47" s="2" t="s">
        <v>34</v>
      </c>
      <c r="B47" s="3" t="s">
        <v>35</v>
      </c>
      <c r="C47" s="4" t="s">
        <v>20</v>
      </c>
      <c r="D47" s="6">
        <f>MIN(Оценки!D46,Оценки!G46,Оценки!J46,Оценки!M46)</f>
        <v>5</v>
      </c>
      <c r="E47" s="7">
        <f>AVERAGE(Оценки!E46,Оценки!H46,Оценки!K46,Оценки!N46)</f>
        <v>6.25</v>
      </c>
      <c r="F47" s="6">
        <f>MAX(Оценки!F46,Оценки!I46,Оценки!L46,Оценки!O46)</f>
        <v>8</v>
      </c>
      <c r="G47" s="8">
        <f>$H$45/F47</f>
        <v>0.125</v>
      </c>
      <c r="H47" s="8">
        <f>$H$45/E47</f>
        <v>0.16</v>
      </c>
      <c r="I47" s="8">
        <f>$H$45/D47</f>
        <v>0.2</v>
      </c>
      <c r="J47" s="8">
        <f>G47*$G$15</f>
        <v>0.05</v>
      </c>
      <c r="K47" s="8">
        <f>H47*$H$15</f>
        <v>0.10400000000000001</v>
      </c>
      <c r="L47" s="8">
        <f>I47*$I$15</f>
        <v>0.18000000000000002</v>
      </c>
      <c r="M47" s="8">
        <f>SQRT(((1-J47)^2+(1-K47)^2+(1-L47)^2)/3)</f>
        <v>0.89026512904864463</v>
      </c>
      <c r="N47" s="8">
        <f>SQRT((J47^2+K47^2+L47^2)/3)</f>
        <v>0.12344499449822446</v>
      </c>
    </row>
    <row r="48" spans="1:14" ht="21.95" customHeight="1" x14ac:dyDescent="0.25">
      <c r="A48" s="2" t="s">
        <v>36</v>
      </c>
      <c r="B48" s="3" t="s">
        <v>37</v>
      </c>
      <c r="C48" s="4" t="s">
        <v>20</v>
      </c>
      <c r="D48" s="6">
        <f>MIN(Оценки!D47,Оценки!G47,Оценки!J47,Оценки!M47)</f>
        <v>2</v>
      </c>
      <c r="E48" s="7">
        <f>AVERAGE(Оценки!E47,Оценки!H47,Оценки!K47,Оценки!N47)</f>
        <v>3.25</v>
      </c>
      <c r="F48" s="6">
        <f>MAX(Оценки!F47,Оценки!I47,Оценки!L47,Оценки!O47)</f>
        <v>5</v>
      </c>
      <c r="G48" s="8">
        <f>$H$45/F48</f>
        <v>0.2</v>
      </c>
      <c r="H48" s="8">
        <f>$H$45/E48</f>
        <v>0.30769230769230771</v>
      </c>
      <c r="I48" s="8">
        <f>$H$45/D48</f>
        <v>0.5</v>
      </c>
      <c r="J48" s="8">
        <f>G48*$G$15</f>
        <v>8.0000000000000016E-2</v>
      </c>
      <c r="K48" s="8">
        <f>H48*$H$15</f>
        <v>0.2</v>
      </c>
      <c r="L48" s="8">
        <f>I48*$I$15</f>
        <v>0.45</v>
      </c>
      <c r="M48" s="8">
        <f>SQRT(((1-J48)^2+(1-K48)^2+(1-L48)^2)/3)</f>
        <v>0.7722046360907191</v>
      </c>
      <c r="N48" s="8">
        <f>SQRT((J48^2+K48^2+L48^2)/3)</f>
        <v>0.28803934916373264</v>
      </c>
    </row>
    <row r="49" spans="1:14" ht="21.95" customHeight="1" x14ac:dyDescent="0.25">
      <c r="A49" s="2" t="s">
        <v>38</v>
      </c>
      <c r="B49" s="3" t="s">
        <v>39</v>
      </c>
      <c r="C49" s="4" t="s">
        <v>20</v>
      </c>
      <c r="D49" s="6">
        <f>MIN(Оценки!D48,Оценки!G48,Оценки!J48,Оценки!M48)</f>
        <v>6</v>
      </c>
      <c r="E49" s="7">
        <f>AVERAGE(Оценки!E48,Оценки!H48,Оценки!K48,Оценки!N48)</f>
        <v>7.5</v>
      </c>
      <c r="F49" s="6">
        <f>MAX(Оценки!F48,Оценки!I48,Оценки!L48,Оценки!O48)</f>
        <v>9</v>
      </c>
      <c r="G49" s="8">
        <f>$H$45/F49</f>
        <v>0.1111111111111111</v>
      </c>
      <c r="H49" s="8">
        <f>$H$45/E49</f>
        <v>0.13333333333333333</v>
      </c>
      <c r="I49" s="8">
        <f>$H$45/D49</f>
        <v>0.16666666666666666</v>
      </c>
      <c r="J49" s="8">
        <f>G49*$G$15</f>
        <v>4.4444444444444446E-2</v>
      </c>
      <c r="K49" s="8">
        <f>H49*$H$15</f>
        <v>8.666666666666667E-2</v>
      </c>
      <c r="L49" s="8">
        <f>I49*$I$15</f>
        <v>0.15</v>
      </c>
      <c r="M49" s="8">
        <f>SQRT(((1-J49)^2+(1-K49)^2+(1-L49)^2)/3)</f>
        <v>0.90733385945322687</v>
      </c>
      <c r="N49" s="8">
        <f>SQRT((J49^2+K49^2+L49^2)/3)</f>
        <v>0.10325763854405869</v>
      </c>
    </row>
    <row r="50" spans="1:14" ht="21.95" customHeight="1" x14ac:dyDescent="0.25"/>
    <row r="51" spans="1:14" ht="21.95" customHeight="1" x14ac:dyDescent="0.25">
      <c r="A51" s="1" t="s">
        <v>67</v>
      </c>
    </row>
    <row r="52" spans="1:14" ht="21.95" customHeight="1" x14ac:dyDescent="0.25">
      <c r="A52" s="2" t="s">
        <v>5</v>
      </c>
      <c r="B52" s="15" t="s">
        <v>30</v>
      </c>
      <c r="C52" s="15"/>
      <c r="D52" s="2" t="s">
        <v>68</v>
      </c>
      <c r="E52" s="2" t="s">
        <v>69</v>
      </c>
      <c r="F52" s="2" t="s">
        <v>70</v>
      </c>
      <c r="G52" s="2" t="s">
        <v>71</v>
      </c>
    </row>
    <row r="53" spans="1:14" ht="21.95" customHeight="1" x14ac:dyDescent="0.25">
      <c r="A53" s="2" t="s">
        <v>32</v>
      </c>
      <c r="B53" s="19" t="s">
        <v>33</v>
      </c>
      <c r="C53" s="19"/>
      <c r="D53" s="8">
        <f>SUMIF($A$20:$A$49,A53,$M$20:$M$49)</f>
        <v>3.3867746703030379</v>
      </c>
      <c r="E53" s="8">
        <f>SUMIF($A$20:$A$49,A53,$N$20:$N$49)</f>
        <v>3.4444530111342839</v>
      </c>
      <c r="F53" s="11">
        <f>E53/(D53+E53)</f>
        <v>0.50422166728448947</v>
      </c>
      <c r="G53" s="12">
        <f>RANK(F53,$F$53:$F$56,0)</f>
        <v>1</v>
      </c>
    </row>
    <row r="54" spans="1:14" ht="21.95" customHeight="1" x14ac:dyDescent="0.25">
      <c r="A54" s="2" t="s">
        <v>34</v>
      </c>
      <c r="B54" s="19" t="s">
        <v>35</v>
      </c>
      <c r="C54" s="19"/>
      <c r="D54" s="8">
        <f>SUMIF($A$20:$A$49,A54,$M$20:$M$49)</f>
        <v>3.419416007693433</v>
      </c>
      <c r="E54" s="8">
        <f>SUMIF($A$20:$A$49,A54,$N$20:$N$49)</f>
        <v>3.1052440618460815</v>
      </c>
      <c r="F54" s="11">
        <f>E54/(D54+E54)</f>
        <v>0.47592426712664554</v>
      </c>
      <c r="G54" s="12">
        <f>RANK(F54,$F$53:$F$56,0)</f>
        <v>2</v>
      </c>
    </row>
    <row r="55" spans="1:14" ht="21.95" customHeight="1" x14ac:dyDescent="0.25">
      <c r="A55" s="2" t="s">
        <v>36</v>
      </c>
      <c r="B55" s="19" t="s">
        <v>37</v>
      </c>
      <c r="C55" s="19"/>
      <c r="D55" s="8">
        <f>SUMIF($A$20:$A$49,A55,$M$20:$M$49)</f>
        <v>3.5515707594808235</v>
      </c>
      <c r="E55" s="8">
        <f>SUMIF($A$20:$A$49,A55,$N$20:$N$49)</f>
        <v>2.9584403897575955</v>
      </c>
      <c r="F55" s="11">
        <f>E55/(D55+E55)</f>
        <v>0.45444475008367563</v>
      </c>
      <c r="G55" s="12">
        <f>RANK(F55,$F$53:$F$56,0)</f>
        <v>3</v>
      </c>
    </row>
    <row r="56" spans="1:14" ht="21.95" customHeight="1" x14ac:dyDescent="0.25">
      <c r="A56" s="2" t="s">
        <v>38</v>
      </c>
      <c r="B56" s="19" t="s">
        <v>39</v>
      </c>
      <c r="C56" s="19"/>
      <c r="D56" s="8">
        <f>SUMIF($A$20:$A$49,A56,$M$20:$M$49)</f>
        <v>3.9149769112714026</v>
      </c>
      <c r="E56" s="8">
        <f>SUMIF($A$20:$A$49,A56,$N$20:$N$49)</f>
        <v>2.5767777142567905</v>
      </c>
      <c r="F56" s="11">
        <f>E56/(D56+E56)</f>
        <v>0.39693085504554698</v>
      </c>
      <c r="G56" s="12">
        <f>RANK(F56,$F$53:$F$56,0)</f>
        <v>4</v>
      </c>
    </row>
    <row r="57" spans="1:14" ht="21.95" customHeight="1" x14ac:dyDescent="0.25"/>
    <row r="58" spans="1:14" ht="21.95" customHeight="1" x14ac:dyDescent="0.25">
      <c r="A58" s="20" t="s">
        <v>72</v>
      </c>
      <c r="B58" s="20"/>
      <c r="C58" s="20" t="str">
        <f>INDEX(A53:A56,MATCH(1,G53:G56,0))&amp;". "&amp;INDEX(B53:B56,MATCH(1,G53:G56,0))</f>
        <v>A1. Управление системными службами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</row>
  </sheetData>
  <mergeCells count="31">
    <mergeCell ref="B54:C54"/>
    <mergeCell ref="B55:C55"/>
    <mergeCell ref="B56:C56"/>
    <mergeCell ref="A58:B58"/>
    <mergeCell ref="C58:N58"/>
    <mergeCell ref="A35:F35"/>
    <mergeCell ref="A40:F40"/>
    <mergeCell ref="A45:F45"/>
    <mergeCell ref="B52:C52"/>
    <mergeCell ref="B53:C53"/>
    <mergeCell ref="M18:M19"/>
    <mergeCell ref="N18:N19"/>
    <mergeCell ref="A20:F20"/>
    <mergeCell ref="A25:F25"/>
    <mergeCell ref="A30:F30"/>
    <mergeCell ref="D18:F18"/>
    <mergeCell ref="G18:I18"/>
    <mergeCell ref="J18:L18"/>
    <mergeCell ref="A18:A19"/>
    <mergeCell ref="B18:B19"/>
    <mergeCell ref="C18:C19"/>
    <mergeCell ref="D8:F8"/>
    <mergeCell ref="G8:I8"/>
    <mergeCell ref="A8:A9"/>
    <mergeCell ref="B8:B9"/>
    <mergeCell ref="C8:C9"/>
    <mergeCell ref="A1:N1"/>
    <mergeCell ref="A2:N2"/>
    <mergeCell ref="A3:N3"/>
    <mergeCell ref="A4:N4"/>
    <mergeCell ref="A5:N5"/>
  </mergeCells>
  <conditionalFormatting sqref="A53:G56">
    <cfRule type="expression" dxfId="0" priority="1">
      <formula>$G53=1</formula>
    </cfRule>
  </conditionalFormatting>
  <pageMargins left="0.7" right="0.7" top="0.75" bottom="0.75" header="0.3" footer="0.3"/>
  <pageSetup fitToHeight="2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Оценки</vt:lpstr>
      <vt:lpstr>TOPSIS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2026-10-27T14:21:30Z</dcterms:created>
  <dcterms:modified xsi:type="dcterms:W3CDTF">2026-10-27T14:21:41Z</dcterms:modified>
  <cp:category/>
</cp:coreProperties>
</file>